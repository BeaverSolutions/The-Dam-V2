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Weekly KPIs" sheetId="4" state="visible" r:id="rId4"/>
    <sheet xmlns:r="http://schemas.openxmlformats.org/officeDocument/2006/relationships" name="Agent 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C8FF00"/>
      <sz val="14"/>
    </font>
    <font>
      <name val="Arial"/>
      <i val="1"/>
      <color rgb="0094A3B8"/>
      <sz val="9"/>
    </font>
    <font>
      <name val="Arial"/>
      <b val="1"/>
      <color rgb="00C8FF00"/>
      <sz val="11"/>
    </font>
    <font>
      <name val="Arial"/>
      <b val="1"/>
      <color rgb="00C8FF00"/>
      <sz val="10"/>
    </font>
    <font>
      <name val="Arial"/>
      <color rgb="00E2E8F0"/>
      <sz val="10"/>
    </font>
    <font>
      <name val="Arial"/>
      <b val="1"/>
      <color rgb="0000B4FF"/>
      <sz val="11"/>
    </font>
    <font>
      <name val="Arial"/>
      <b val="1"/>
      <color rgb="0000B4FF"/>
      <sz val="10"/>
    </font>
    <font>
      <name val="Arial"/>
      <b val="1"/>
      <color rgb="00060A0F"/>
      <sz val="10"/>
    </font>
  </fonts>
  <fills count="7">
    <fill>
      <patternFill/>
    </fill>
    <fill>
      <patternFill patternType="gray125"/>
    </fill>
    <fill>
      <patternFill patternType="solid">
        <fgColor rgb="00060A0F"/>
      </patternFill>
    </fill>
    <fill>
      <patternFill patternType="solid">
        <fgColor rgb="000D1420"/>
      </patternFill>
    </fill>
    <fill>
      <patternFill patternType="solid">
        <fgColor rgb="0000B4FF"/>
      </patternFill>
    </fill>
    <fill>
      <patternFill patternType="solid">
        <fgColor rgb="00FF8C00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2" borderId="1" pivotButton="0" quotePrefix="0" xfId="0"/>
    <xf numFmtId="0" fontId="4" fillId="2" borderId="1" applyAlignment="1" pivotButton="0" quotePrefix="0" xfId="0">
      <alignment horizontal="center"/>
    </xf>
    <xf numFmtId="0" fontId="2" fillId="2" borderId="1" pivotButton="0" quotePrefix="0" xfId="0"/>
    <xf numFmtId="0" fontId="6" fillId="3" borderId="0" pivotButton="0" quotePrefix="0" xfId="0"/>
    <xf numFmtId="0" fontId="7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00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4" customWidth="1" min="4" max="4"/>
  </cols>
  <sheetData>
    <row r="1" ht="32" customHeight="1">
      <c r="A1" s="1" t="inlineStr">
        <is>
          <t>The Dam — GamerExchange — Performance Tracker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Auto-populated from Supabase export. Run: node server/scripts/exportClientData.js gamerexchange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KEY METRICS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Metric</t>
        </is>
      </c>
      <c r="B5" s="5" t="inlineStr">
        <is>
          <t>Value</t>
        </is>
      </c>
      <c r="C5" s="5" t="inlineStr">
        <is>
          <t>Notes</t>
        </is>
      </c>
      <c r="D5" s="2" t="n"/>
      <c r="E5" s="2" t="n"/>
      <c r="F5" s="2" t="n"/>
      <c r="G5" s="2" t="n"/>
      <c r="H5" s="2" t="n"/>
    </row>
    <row r="6" ht="18" customHeight="1">
      <c r="A6" s="6" t="inlineStr">
        <is>
          <t>Total Leads Found</t>
        </is>
      </c>
      <c r="B6" s="7">
        <f>COUNTA(Leads!A:A)-1</f>
        <v/>
      </c>
      <c r="C6" s="8" t="inlineStr">
        <is>
          <t>All prospects sourced</t>
        </is>
      </c>
      <c r="D6" s="2" t="n"/>
      <c r="E6" s="2" t="n"/>
      <c r="F6" s="2" t="n"/>
      <c r="G6" s="2" t="n"/>
      <c r="H6" s="2" t="n"/>
    </row>
    <row r="7" ht="18" customHeight="1">
      <c r="A7" s="6" t="inlineStr">
        <is>
          <t>Messages Drafted</t>
        </is>
      </c>
      <c r="B7" s="7">
        <f>COUNTA(Messages!A:A)-1</f>
        <v/>
      </c>
      <c r="C7" s="8" t="inlineStr">
        <is>
          <t>By Sales Beaver</t>
        </is>
      </c>
      <c r="D7" s="2" t="n"/>
      <c r="E7" s="2" t="n"/>
      <c r="F7" s="2" t="n"/>
      <c r="G7" s="2" t="n"/>
      <c r="H7" s="2" t="n"/>
    </row>
    <row r="8" ht="18" customHeight="1">
      <c r="A8" s="6" t="inlineStr">
        <is>
          <t>Ranger Pass Rate</t>
        </is>
      </c>
      <c r="B8" s="7">
        <f>IFERROR(COUNTIF(Messages!H:H,"sent")/COUNTA(Messages!A:A)-1,"-")</f>
        <v/>
      </c>
      <c r="C8" s="8" t="inlineStr">
        <is>
          <t>% passing Ranger gates</t>
        </is>
      </c>
      <c r="D8" s="2" t="n"/>
      <c r="E8" s="2" t="n"/>
      <c r="F8" s="2" t="n"/>
      <c r="G8" s="2" t="n"/>
      <c r="H8" s="2" t="n"/>
    </row>
    <row r="9" ht="18" customHeight="1">
      <c r="A9" s="6" t="inlineStr">
        <is>
          <t>Emails Sent</t>
        </is>
      </c>
      <c r="B9" s="7">
        <f>COUNTIF(Messages!H:H,"sent")</f>
        <v/>
      </c>
      <c r="C9" s="8" t="inlineStr">
        <is>
          <t>Approved &amp; delivered</t>
        </is>
      </c>
      <c r="D9" s="2" t="n"/>
      <c r="E9" s="2" t="n"/>
      <c r="F9" s="2" t="n"/>
      <c r="G9" s="2" t="n"/>
      <c r="H9" s="2" t="n"/>
    </row>
    <row r="10" ht="18" customHeight="1">
      <c r="A10" s="6" t="inlineStr">
        <is>
          <t>Replies Received</t>
        </is>
      </c>
      <c r="B10" s="7">
        <f>COUNTIF(Leads!G:G,"replied")</f>
        <v/>
      </c>
      <c r="C10" s="8" t="inlineStr">
        <is>
          <t>Prospects who replied</t>
        </is>
      </c>
      <c r="D10" s="2" t="n"/>
      <c r="E10" s="2" t="n"/>
      <c r="F10" s="2" t="n"/>
      <c r="G10" s="2" t="n"/>
      <c r="H10" s="2" t="n"/>
    </row>
    <row r="11" ht="18" customHeight="1">
      <c r="A11" s="6" t="inlineStr">
        <is>
          <t>Reply Rate</t>
        </is>
      </c>
      <c r="B11" s="7">
        <f>IFERROR(Dashboard!B10/Dashboard!B9,"-")</f>
        <v/>
      </c>
      <c r="C11" s="8" t="inlineStr">
        <is>
          <t>Replies / Sent</t>
        </is>
      </c>
      <c r="D11" s="2" t="n"/>
      <c r="E11" s="2" t="n"/>
      <c r="F11" s="2" t="n"/>
      <c r="G11" s="2" t="n"/>
      <c r="H11" s="2" t="n"/>
    </row>
    <row r="12" ht="18" customHeight="1">
      <c r="A12" s="6" t="inlineStr">
        <is>
          <t>Meetings Booked</t>
        </is>
      </c>
      <c r="B12" s="7">
        <f>COUNTIF(Leads!G:G,"meeting_booked")</f>
        <v/>
      </c>
      <c r="C12" s="8" t="inlineStr">
        <is>
          <t>Booked via pipeline</t>
        </is>
      </c>
      <c r="D12" s="2" t="n"/>
      <c r="E12" s="2" t="n"/>
      <c r="F12" s="2" t="n"/>
      <c r="G12" s="2" t="n"/>
      <c r="H12" s="2" t="n"/>
    </row>
    <row r="13" ht="18" customHeight="1">
      <c r="A13" s="6" t="inlineStr">
        <is>
          <t>Meeting Rate</t>
        </is>
      </c>
      <c r="B13" s="7">
        <f>IFERROR(Dashboard!B12/Dashboard!B9,"-")</f>
        <v/>
      </c>
      <c r="C13" s="8" t="inlineStr">
        <is>
          <t>Meetings / Sent</t>
        </is>
      </c>
      <c r="D13" s="2" t="n"/>
      <c r="E13" s="2" t="n"/>
      <c r="F13" s="2" t="n"/>
      <c r="G13" s="2" t="n"/>
      <c r="H13" s="2" t="n"/>
    </row>
    <row r="14" ht="18" customHeight="1">
      <c r="A14" s="6" t="inlineStr">
        <is>
          <t>P1 Leads</t>
        </is>
      </c>
      <c r="B14" s="7">
        <f>COUNTIF(Leads!F:F,"P1")</f>
        <v/>
      </c>
      <c r="C14" s="8" t="inlineStr">
        <is>
          <t>High-signal prospects</t>
        </is>
      </c>
      <c r="D14" s="2" t="n"/>
      <c r="E14" s="2" t="n"/>
      <c r="F14" s="2" t="n"/>
      <c r="G14" s="2" t="n"/>
      <c r="H14" s="2" t="n"/>
    </row>
    <row r="15" ht="18" customHeight="1">
      <c r="A15" s="6" t="inlineStr">
        <is>
          <t>P2 Leads</t>
        </is>
      </c>
      <c r="B15" s="7">
        <f>COUNTIF(Leads!F:F,"P2")</f>
        <v/>
      </c>
      <c r="C15" s="8" t="inlineStr">
        <is>
          <t>Medium-signal prospects</t>
        </is>
      </c>
      <c r="D15" s="2" t="n"/>
      <c r="E15" s="2" t="n"/>
      <c r="F15" s="2" t="n"/>
      <c r="G15" s="2" t="n"/>
      <c r="H15" s="2" t="n"/>
    </row>
    <row r="16" ht="18" customHeight="1">
      <c r="A16" s="6" t="inlineStr">
        <is>
          <t>Ranger Rejections</t>
        </is>
      </c>
      <c r="B16" s="7">
        <f>COUNTIF(Messages!H:H,"ranger_rejected")</f>
        <v/>
      </c>
      <c r="C16" s="8" t="inlineStr">
        <is>
          <t>Messages blocked by Ranger</t>
        </is>
      </c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9" t="inlineStr">
        <is>
          <t>PIPELINE FUNNEL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10" t="inlineStr">
        <is>
          <t>Stage</t>
        </is>
      </c>
      <c r="B19" s="10" t="inlineStr">
        <is>
          <t>Count</t>
        </is>
      </c>
      <c r="C19" s="2" t="n"/>
      <c r="D19" s="2" t="n"/>
      <c r="E19" s="2" t="n"/>
      <c r="F19" s="2" t="n"/>
      <c r="G19" s="2" t="n"/>
      <c r="H19" s="2" t="n"/>
    </row>
    <row r="20" ht="18" customHeight="1">
      <c r="A20" s="6" t="inlineStr">
        <is>
          <t>Prospecting</t>
        </is>
      </c>
      <c r="B20" s="11">
        <f>COUNTIF(Leads!I:I,"prospecting")</f>
        <v/>
      </c>
      <c r="C20" s="2" t="n"/>
      <c r="D20" s="2" t="n"/>
      <c r="E20" s="2" t="n"/>
      <c r="F20" s="2" t="n"/>
      <c r="G20" s="2" t="n"/>
      <c r="H20" s="2" t="n"/>
    </row>
    <row r="21" ht="18" customHeight="1">
      <c r="A21" s="6" t="inlineStr">
        <is>
          <t>Outreach</t>
        </is>
      </c>
      <c r="B21" s="11">
        <f>COUNTIF(Leads!I:I,"outreach")</f>
        <v/>
      </c>
      <c r="C21" s="2" t="n"/>
      <c r="D21" s="2" t="n"/>
      <c r="E21" s="2" t="n"/>
      <c r="F21" s="2" t="n"/>
      <c r="G21" s="2" t="n"/>
      <c r="H21" s="2" t="n"/>
    </row>
    <row r="22" ht="18" customHeight="1">
      <c r="A22" s="6" t="inlineStr">
        <is>
          <t>Qualifying</t>
        </is>
      </c>
      <c r="B22" s="11">
        <f>COUNTIF(Leads!I:I,"qualifying")</f>
        <v/>
      </c>
      <c r="C22" s="2" t="n"/>
      <c r="D22" s="2" t="n"/>
      <c r="E22" s="2" t="n"/>
      <c r="F22" s="2" t="n"/>
      <c r="G22" s="2" t="n"/>
      <c r="H22" s="2" t="n"/>
    </row>
    <row r="23" ht="18" customHeight="1">
      <c r="A23" s="6" t="inlineStr">
        <is>
          <t>Booked</t>
        </is>
      </c>
      <c r="B23" s="11">
        <f>COUNTIF(Leads!I:I,"booked")</f>
        <v/>
      </c>
      <c r="C23" s="2" t="n"/>
      <c r="D23" s="2" t="n"/>
      <c r="E23" s="2" t="n"/>
      <c r="F23" s="2" t="n"/>
      <c r="G23" s="2" t="n"/>
      <c r="H23" s="2" t="n"/>
    </row>
    <row r="24" ht="18" customHeight="1">
      <c r="A24" s="6" t="inlineStr">
        <is>
          <t>Closed Won</t>
        </is>
      </c>
      <c r="B24" s="11">
        <f>COUNTIF(Leads!G:G,"closed_won")</f>
        <v/>
      </c>
      <c r="C24" s="2" t="n"/>
      <c r="D24" s="2" t="n"/>
      <c r="E24" s="2" t="n"/>
      <c r="F24" s="2" t="n"/>
      <c r="G24" s="2" t="n"/>
      <c r="H24" s="2" t="n"/>
    </row>
    <row r="25" ht="18" customHeight="1">
      <c r="A25" s="6" t="inlineStr">
        <is>
          <t>Closed Lost</t>
        </is>
      </c>
      <c r="B25" s="11">
        <f>COUNTIF(Leads!G:G,"closed_lost")</f>
        <v/>
      </c>
      <c r="C25" s="2" t="n"/>
      <c r="D25" s="2" t="n"/>
      <c r="E25" s="2" t="n"/>
      <c r="F25" s="2" t="n"/>
      <c r="G25" s="2" t="n"/>
      <c r="H25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4FF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28" customWidth="1" min="5" max="5"/>
    <col width="12" customWidth="1" min="6" max="6"/>
    <col width="16" customWidth="1" min="7" max="7"/>
    <col width="8" customWidth="1" min="8" max="8"/>
    <col width="18" customWidth="1" min="9" max="9"/>
    <col width="14" customWidth="1" min="10" max="10"/>
    <col width="14" customWidth="1" min="11" max="11"/>
    <col width="14" customWidth="1" min="12" max="12"/>
    <col width="30" customWidth="1" min="13" max="13"/>
    <col width="40" customWidth="1" min="14" max="14"/>
  </cols>
  <sheetData>
    <row r="1" ht="24" customHeight="1">
      <c r="A1" s="12" t="inlineStr">
        <is>
          <t>Date Added</t>
        </is>
      </c>
      <c r="B1" s="12" t="inlineStr">
        <is>
          <t>Name</t>
        </is>
      </c>
      <c r="C1" s="12" t="inlineStr">
        <is>
          <t>Company</t>
        </is>
      </c>
      <c r="D1" s="12" t="inlineStr">
        <is>
          <t>Title</t>
        </is>
      </c>
      <c r="E1" s="12" t="inlineStr">
        <is>
          <t>Email</t>
        </is>
      </c>
      <c r="F1" s="12" t="inlineStr">
        <is>
          <t>Signal Tier</t>
        </is>
      </c>
      <c r="G1" s="12" t="inlineStr">
        <is>
          <t>Status</t>
        </is>
      </c>
      <c r="H1" s="12" t="inlineStr">
        <is>
          <t>Score</t>
        </is>
      </c>
      <c r="I1" s="12" t="inlineStr">
        <is>
          <t>Pipeline Stage</t>
        </is>
      </c>
      <c r="J1" s="12" t="inlineStr">
        <is>
          <t>Source</t>
        </is>
      </c>
      <c r="K1" s="12" t="inlineStr">
        <is>
          <t>Apollo Enriched</t>
        </is>
      </c>
      <c r="L1" s="12" t="inlineStr">
        <is>
          <t>Email Verified</t>
        </is>
      </c>
      <c r="M1" s="12" t="inlineStr">
        <is>
          <t>LinkedIn URL</t>
        </is>
      </c>
      <c r="N1" s="12" t="inlineStr">
        <is>
          <t>Notes / Angle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0" customWidth="1" min="4" max="4"/>
    <col width="40" customWidth="1" min="5" max="5"/>
    <col width="50" customWidth="1" min="6" max="6"/>
    <col width="12" customWidth="1" min="7" max="7"/>
    <col width="18" customWidth="1" min="8" max="8"/>
    <col width="40" customWidth="1" min="9" max="9"/>
    <col width="16" customWidth="1" min="10" max="10"/>
    <col width="28" customWidth="1" min="11" max="11"/>
    <col width="14" customWidth="1" min="12" max="12"/>
  </cols>
  <sheetData>
    <row r="1" ht="24" customHeight="1">
      <c r="A1" s="14" t="inlineStr">
        <is>
          <t>Date Created</t>
        </is>
      </c>
      <c r="B1" s="14" t="inlineStr">
        <is>
          <t>Lead Name</t>
        </is>
      </c>
      <c r="C1" s="14" t="inlineStr">
        <is>
          <t>Company</t>
        </is>
      </c>
      <c r="D1" s="14" t="inlineStr">
        <is>
          <t>Channel</t>
        </is>
      </c>
      <c r="E1" s="14" t="inlineStr">
        <is>
          <t>Subject Line</t>
        </is>
      </c>
      <c r="F1" s="14" t="inlineStr">
        <is>
          <t>Body Preview</t>
        </is>
      </c>
      <c r="G1" s="14" t="inlineStr">
        <is>
          <t>Ranger Score</t>
        </is>
      </c>
      <c r="H1" s="14" t="inlineStr">
        <is>
          <t>Status</t>
        </is>
      </c>
      <c r="I1" s="14" t="inlineStr">
        <is>
          <t>Ranger Notes</t>
        </is>
      </c>
      <c r="J1" s="14" t="inlineStr">
        <is>
          <t>Sent At</t>
        </is>
      </c>
      <c r="K1" s="14" t="inlineStr">
        <is>
          <t>Gmail Thread ID</t>
        </is>
      </c>
      <c r="L1" s="14" t="inlineStr">
        <is>
          <t>Reply Detected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6" customWidth="1" min="5" max="5"/>
    <col width="12" customWidth="1" min="6" max="6"/>
    <col width="12" customWidth="1" min="7" max="7"/>
    <col width="16" customWidth="1" min="8" max="8"/>
    <col width="10" customWidth="1" min="9" max="9"/>
    <col width="10" customWidth="1" min="10" max="10"/>
    <col width="36" customWidth="1" min="11" max="11"/>
    <col width="36" customWidth="1" min="12" max="12"/>
  </cols>
  <sheetData>
    <row r="1" ht="24" customHeight="1">
      <c r="A1" s="15" t="inlineStr">
        <is>
          <t>Week Starting</t>
        </is>
      </c>
      <c r="B1" s="15" t="inlineStr">
        <is>
          <t>Leads Found</t>
        </is>
      </c>
      <c r="C1" s="15" t="inlineStr">
        <is>
          <t>Emails Sent</t>
        </is>
      </c>
      <c r="D1" s="15" t="inlineStr">
        <is>
          <t>Replies</t>
        </is>
      </c>
      <c r="E1" s="15" t="inlineStr">
        <is>
          <t>Meetings Booked</t>
        </is>
      </c>
      <c r="F1" s="15" t="inlineStr">
        <is>
          <t>Reply Rate</t>
        </is>
      </c>
      <c r="G1" s="15" t="inlineStr">
        <is>
          <t>Meeting Rate</t>
        </is>
      </c>
      <c r="H1" s="15" t="inlineStr">
        <is>
          <t>Ranger Pass Rate</t>
        </is>
      </c>
      <c r="I1" s="15" t="inlineStr">
        <is>
          <t>P1 Leads</t>
        </is>
      </c>
      <c r="J1" s="15" t="inlineStr">
        <is>
          <t>P2 Leads</t>
        </is>
      </c>
      <c r="K1" s="15" t="inlineStr">
        <is>
          <t>Best Performing Angle</t>
        </is>
      </c>
      <c r="L1" s="15" t="inlineStr">
        <is>
          <t>Director Notes</t>
        </is>
      </c>
    </row>
    <row r="2" ht="18" customHeight="1">
      <c r="A2" s="13" t="n"/>
      <c r="B2" s="13" t="n"/>
      <c r="C2" s="13" t="n"/>
      <c r="D2" s="13" t="n"/>
      <c r="E2" s="13" t="n"/>
      <c r="F2" s="16">
        <f>IFERROR(D2/C2,"-")</f>
        <v/>
      </c>
      <c r="G2" s="16">
        <f>IFERROR(E2/C2,"-")</f>
        <v/>
      </c>
      <c r="H2" s="13" t="n"/>
      <c r="I2" s="13" t="n"/>
      <c r="J2" s="13" t="n"/>
      <c r="K2" s="13" t="n"/>
      <c r="L2" s="13" t="n"/>
    </row>
    <row r="3" ht="18" customHeight="1">
      <c r="A3" s="2" t="n"/>
      <c r="B3" s="2" t="n"/>
      <c r="C3" s="2" t="n"/>
      <c r="D3" s="2" t="n"/>
      <c r="E3" s="2" t="n"/>
      <c r="F3" s="17">
        <f>IFERROR(D3/C3,"-")</f>
        <v/>
      </c>
      <c r="G3" s="17">
        <f>IFERROR(E3/C3,"-")</f>
        <v/>
      </c>
      <c r="H3" s="2" t="n"/>
      <c r="I3" s="2" t="n"/>
      <c r="J3" s="2" t="n"/>
      <c r="K3" s="2" t="n"/>
      <c r="L3" s="2" t="n"/>
    </row>
    <row r="4" ht="18" customHeight="1">
      <c r="A4" s="13" t="n"/>
      <c r="B4" s="13" t="n"/>
      <c r="C4" s="13" t="n"/>
      <c r="D4" s="13" t="n"/>
      <c r="E4" s="13" t="n"/>
      <c r="F4" s="16">
        <f>IFERROR(D4/C4,"-")</f>
        <v/>
      </c>
      <c r="G4" s="16">
        <f>IFERROR(E4/C4,"-")</f>
        <v/>
      </c>
      <c r="H4" s="13" t="n"/>
      <c r="I4" s="13" t="n"/>
      <c r="J4" s="13" t="n"/>
      <c r="K4" s="13" t="n"/>
      <c r="L4" s="13" t="n"/>
    </row>
    <row r="5" ht="18" customHeight="1">
      <c r="A5" s="2" t="n"/>
      <c r="B5" s="2" t="n"/>
      <c r="C5" s="2" t="n"/>
      <c r="D5" s="2" t="n"/>
      <c r="E5" s="2" t="n"/>
      <c r="F5" s="17">
        <f>IFERROR(D5/C5,"-")</f>
        <v/>
      </c>
      <c r="G5" s="17">
        <f>IFERROR(E5/C5,"-")</f>
        <v/>
      </c>
      <c r="H5" s="2" t="n"/>
      <c r="I5" s="2" t="n"/>
      <c r="J5" s="2" t="n"/>
      <c r="K5" s="2" t="n"/>
      <c r="L5" s="2" t="n"/>
    </row>
    <row r="6" ht="18" customHeight="1">
      <c r="A6" s="13" t="n"/>
      <c r="B6" s="13" t="n"/>
      <c r="C6" s="13" t="n"/>
      <c r="D6" s="13" t="n"/>
      <c r="E6" s="13" t="n"/>
      <c r="F6" s="16">
        <f>IFERROR(D6/C6,"-")</f>
        <v/>
      </c>
      <c r="G6" s="16">
        <f>IFERROR(E6/C6,"-")</f>
        <v/>
      </c>
      <c r="H6" s="13" t="n"/>
      <c r="I6" s="13" t="n"/>
      <c r="J6" s="13" t="n"/>
      <c r="K6" s="13" t="n"/>
      <c r="L6" s="13" t="n"/>
    </row>
    <row r="7" ht="18" customHeight="1">
      <c r="A7" s="2" t="n"/>
      <c r="B7" s="2" t="n"/>
      <c r="C7" s="2" t="n"/>
      <c r="D7" s="2" t="n"/>
      <c r="E7" s="2" t="n"/>
      <c r="F7" s="17">
        <f>IFERROR(D7/C7,"-")</f>
        <v/>
      </c>
      <c r="G7" s="17">
        <f>IFERROR(E7/C7,"-")</f>
        <v/>
      </c>
      <c r="H7" s="2" t="n"/>
      <c r="I7" s="2" t="n"/>
      <c r="J7" s="2" t="n"/>
      <c r="K7" s="2" t="n"/>
      <c r="L7" s="2" t="n"/>
    </row>
    <row r="8" ht="18" customHeight="1">
      <c r="A8" s="13" t="n"/>
      <c r="B8" s="13" t="n"/>
      <c r="C8" s="13" t="n"/>
      <c r="D8" s="13" t="n"/>
      <c r="E8" s="13" t="n"/>
      <c r="F8" s="16">
        <f>IFERROR(D8/C8,"-")</f>
        <v/>
      </c>
      <c r="G8" s="16">
        <f>IFERROR(E8/C8,"-")</f>
        <v/>
      </c>
      <c r="H8" s="13" t="n"/>
      <c r="I8" s="13" t="n"/>
      <c r="J8" s="13" t="n"/>
      <c r="K8" s="13" t="n"/>
      <c r="L8" s="13" t="n"/>
    </row>
    <row r="9" ht="18" customHeight="1">
      <c r="A9" s="2" t="n"/>
      <c r="B9" s="2" t="n"/>
      <c r="C9" s="2" t="n"/>
      <c r="D9" s="2" t="n"/>
      <c r="E9" s="2" t="n"/>
      <c r="F9" s="17">
        <f>IFERROR(D9/C9,"-")</f>
        <v/>
      </c>
      <c r="G9" s="17">
        <f>IFERROR(E9/C9,"-")</f>
        <v/>
      </c>
      <c r="H9" s="2" t="n"/>
      <c r="I9" s="2" t="n"/>
      <c r="J9" s="2" t="n"/>
      <c r="K9" s="2" t="n"/>
      <c r="L9" s="2" t="n"/>
    </row>
    <row r="10" ht="18" customHeight="1">
      <c r="A10" s="13" t="n"/>
      <c r="B10" s="13" t="n"/>
      <c r="C10" s="13" t="n"/>
      <c r="D10" s="13" t="n"/>
      <c r="E10" s="13" t="n"/>
      <c r="F10" s="16">
        <f>IFERROR(D10/C10,"-")</f>
        <v/>
      </c>
      <c r="G10" s="16">
        <f>IFERROR(E10/C10,"-")</f>
        <v/>
      </c>
      <c r="H10" s="13" t="n"/>
      <c r="I10" s="13" t="n"/>
      <c r="J10" s="13" t="n"/>
      <c r="K10" s="13" t="n"/>
      <c r="L10" s="13" t="n"/>
    </row>
    <row r="11" ht="18" customHeight="1">
      <c r="A11" s="2" t="n"/>
      <c r="B11" s="2" t="n"/>
      <c r="C11" s="2" t="n"/>
      <c r="D11" s="2" t="n"/>
      <c r="E11" s="2" t="n"/>
      <c r="F11" s="17">
        <f>IFERROR(D11/C11,"-")</f>
        <v/>
      </c>
      <c r="G11" s="17">
        <f>IFERROR(E11/C11,"-")</f>
        <v/>
      </c>
      <c r="H11" s="2" t="n"/>
      <c r="I11" s="2" t="n"/>
      <c r="J11" s="2" t="n"/>
      <c r="K11" s="2" t="n"/>
      <c r="L11" s="2" t="n"/>
    </row>
    <row r="12" ht="18" customHeight="1">
      <c r="A12" s="13" t="n"/>
      <c r="B12" s="13" t="n"/>
      <c r="C12" s="13" t="n"/>
      <c r="D12" s="13" t="n"/>
      <c r="E12" s="13" t="n"/>
      <c r="F12" s="16">
        <f>IFERROR(D12/C12,"-")</f>
        <v/>
      </c>
      <c r="G12" s="16">
        <f>IFERROR(E12/C12,"-")</f>
        <v/>
      </c>
      <c r="H12" s="13" t="n"/>
      <c r="I12" s="13" t="n"/>
      <c r="J12" s="13" t="n"/>
      <c r="K12" s="13" t="n"/>
      <c r="L12" s="13" t="n"/>
    </row>
    <row r="13" ht="18" customHeight="1">
      <c r="A13" s="2" t="n"/>
      <c r="B13" s="2" t="n"/>
      <c r="C13" s="2" t="n"/>
      <c r="D13" s="2" t="n"/>
      <c r="E13" s="2" t="n"/>
      <c r="F13" s="17">
        <f>IFERROR(D13/C13,"-")</f>
        <v/>
      </c>
      <c r="G13" s="17">
        <f>IFERROR(E13/C13,"-")</f>
        <v/>
      </c>
      <c r="H13" s="2" t="n"/>
      <c r="I13" s="2" t="n"/>
      <c r="J13" s="2" t="n"/>
      <c r="K13" s="2" t="n"/>
      <c r="L13" s="2" t="n"/>
    </row>
    <row r="14" ht="18" customHeight="1">
      <c r="A14" s="13" t="n"/>
      <c r="B14" s="13" t="n"/>
      <c r="C14" s="13" t="n"/>
      <c r="D14" s="13" t="n"/>
      <c r="E14" s="13" t="n"/>
      <c r="F14" s="16">
        <f>IFERROR(D14/C14,"-")</f>
        <v/>
      </c>
      <c r="G14" s="16">
        <f>IFERROR(E14/C14,"-")</f>
        <v/>
      </c>
      <c r="H14" s="13" t="n"/>
      <c r="I14" s="13" t="n"/>
      <c r="J14" s="13" t="n"/>
      <c r="K14" s="13" t="n"/>
      <c r="L14" s="13" t="n"/>
    </row>
    <row r="15" ht="18" customHeight="1">
      <c r="A15" s="2" t="n"/>
      <c r="B15" s="2" t="n"/>
      <c r="C15" s="2" t="n"/>
      <c r="D15" s="2" t="n"/>
      <c r="E15" s="2" t="n"/>
      <c r="F15" s="17">
        <f>IFERROR(D15/C15,"-")</f>
        <v/>
      </c>
      <c r="G15" s="17">
        <f>IFERROR(E15/C15,"-")</f>
        <v/>
      </c>
      <c r="H15" s="2" t="n"/>
      <c r="I15" s="2" t="n"/>
      <c r="J15" s="2" t="n"/>
      <c r="K15" s="2" t="n"/>
      <c r="L15" s="2" t="n"/>
    </row>
    <row r="16" ht="18" customHeight="1">
      <c r="A16" s="13" t="n"/>
      <c r="B16" s="13" t="n"/>
      <c r="C16" s="13" t="n"/>
      <c r="D16" s="13" t="n"/>
      <c r="E16" s="13" t="n"/>
      <c r="F16" s="16">
        <f>IFERROR(D16/C16,"-")</f>
        <v/>
      </c>
      <c r="G16" s="16">
        <f>IFERROR(E16/C16,"-")</f>
        <v/>
      </c>
      <c r="H16" s="13" t="n"/>
      <c r="I16" s="13" t="n"/>
      <c r="J16" s="13" t="n"/>
      <c r="K16" s="13" t="n"/>
      <c r="L16" s="13" t="n"/>
    </row>
    <row r="17" ht="18" customHeight="1">
      <c r="A17" s="2" t="n"/>
      <c r="B17" s="2" t="n"/>
      <c r="C17" s="2" t="n"/>
      <c r="D17" s="2" t="n"/>
      <c r="E17" s="2" t="n"/>
      <c r="F17" s="17">
        <f>IFERROR(D17/C17,"-")</f>
        <v/>
      </c>
      <c r="G17" s="17">
        <f>IFERROR(E17/C17,"-")</f>
        <v/>
      </c>
      <c r="H17" s="2" t="n"/>
      <c r="I17" s="2" t="n"/>
      <c r="J17" s="2" t="n"/>
      <c r="K17" s="2" t="n"/>
      <c r="L17" s="2" t="n"/>
    </row>
    <row r="18" ht="18" customHeight="1">
      <c r="A18" s="13" t="n"/>
      <c r="B18" s="13" t="n"/>
      <c r="C18" s="13" t="n"/>
      <c r="D18" s="13" t="n"/>
      <c r="E18" s="13" t="n"/>
      <c r="F18" s="16">
        <f>IFERROR(D18/C18,"-")</f>
        <v/>
      </c>
      <c r="G18" s="16">
        <f>IFERROR(E18/C18,"-")</f>
        <v/>
      </c>
      <c r="H18" s="13" t="n"/>
      <c r="I18" s="13" t="n"/>
      <c r="J18" s="13" t="n"/>
      <c r="K18" s="13" t="n"/>
      <c r="L18" s="13" t="n"/>
    </row>
    <row r="19" ht="18" customHeight="1">
      <c r="A19" s="2" t="n"/>
      <c r="B19" s="2" t="n"/>
      <c r="C19" s="2" t="n"/>
      <c r="D19" s="2" t="n"/>
      <c r="E19" s="2" t="n"/>
      <c r="F19" s="17">
        <f>IFERROR(D19/C19,"-")</f>
        <v/>
      </c>
      <c r="G19" s="17">
        <f>IFERROR(E19/C19,"-")</f>
        <v/>
      </c>
      <c r="H19" s="2" t="n"/>
      <c r="I19" s="2" t="n"/>
      <c r="J19" s="2" t="n"/>
      <c r="K19" s="2" t="n"/>
      <c r="L19" s="2" t="n"/>
    </row>
    <row r="20" ht="18" customHeight="1">
      <c r="A20" s="13" t="n"/>
      <c r="B20" s="13" t="n"/>
      <c r="C20" s="13" t="n"/>
      <c r="D20" s="13" t="n"/>
      <c r="E20" s="13" t="n"/>
      <c r="F20" s="16">
        <f>IFERROR(D20/C20,"-")</f>
        <v/>
      </c>
      <c r="G20" s="16">
        <f>IFERROR(E20/C20,"-")</f>
        <v/>
      </c>
      <c r="H20" s="13" t="n"/>
      <c r="I20" s="13" t="n"/>
      <c r="J20" s="13" t="n"/>
      <c r="K20" s="13" t="n"/>
      <c r="L20" s="13" t="n"/>
    </row>
    <row r="21" ht="18" customHeight="1">
      <c r="A21" s="2" t="n"/>
      <c r="B21" s="2" t="n"/>
      <c r="C21" s="2" t="n"/>
      <c r="D21" s="2" t="n"/>
      <c r="E21" s="2" t="n"/>
      <c r="F21" s="17">
        <f>IFERROR(D21/C21,"-")</f>
        <v/>
      </c>
      <c r="G21" s="17">
        <f>IFERROR(E21/C21,"-")</f>
        <v/>
      </c>
      <c r="H21" s="2" t="n"/>
      <c r="I21" s="2" t="n"/>
      <c r="J21" s="2" t="n"/>
      <c r="K21" s="2" t="n"/>
      <c r="L21" s="2" t="n"/>
    </row>
    <row r="22" ht="18" customHeight="1">
      <c r="A22" s="13" t="n"/>
      <c r="B22" s="13" t="n"/>
      <c r="C22" s="13" t="n"/>
      <c r="D22" s="13" t="n"/>
      <c r="E22" s="13" t="n"/>
      <c r="F22" s="16">
        <f>IFERROR(D22/C22,"-")</f>
        <v/>
      </c>
      <c r="G22" s="16">
        <f>IFERROR(E22/C22,"-")</f>
        <v/>
      </c>
      <c r="H22" s="13" t="n"/>
      <c r="I22" s="13" t="n"/>
      <c r="J22" s="13" t="n"/>
      <c r="K22" s="13" t="n"/>
      <c r="L22" s="13" t="n"/>
    </row>
    <row r="23" ht="18" customHeight="1">
      <c r="A23" s="2" t="n"/>
      <c r="B23" s="2" t="n"/>
      <c r="C23" s="2" t="n"/>
      <c r="D23" s="2" t="n"/>
      <c r="E23" s="2" t="n"/>
      <c r="F23" s="17">
        <f>IFERROR(D23/C23,"-")</f>
        <v/>
      </c>
      <c r="G23" s="17">
        <f>IFERROR(E23/C23,"-")</f>
        <v/>
      </c>
      <c r="H23" s="2" t="n"/>
      <c r="I23" s="2" t="n"/>
      <c r="J23" s="2" t="n"/>
      <c r="K23" s="2" t="n"/>
      <c r="L23" s="2" t="n"/>
    </row>
    <row r="24" ht="18" customHeight="1">
      <c r="A24" s="13" t="n"/>
      <c r="B24" s="13" t="n"/>
      <c r="C24" s="13" t="n"/>
      <c r="D24" s="13" t="n"/>
      <c r="E24" s="13" t="n"/>
      <c r="F24" s="16">
        <f>IFERROR(D24/C24,"-")</f>
        <v/>
      </c>
      <c r="G24" s="16">
        <f>IFERROR(E24/C24,"-")</f>
        <v/>
      </c>
      <c r="H24" s="13" t="n"/>
      <c r="I24" s="13" t="n"/>
      <c r="J24" s="13" t="n"/>
      <c r="K24" s="13" t="n"/>
      <c r="L24" s="13" t="n"/>
    </row>
    <row r="25" ht="18" customHeight="1">
      <c r="A25" s="2" t="n"/>
      <c r="B25" s="2" t="n"/>
      <c r="C25" s="2" t="n"/>
      <c r="D25" s="2" t="n"/>
      <c r="E25" s="2" t="n"/>
      <c r="F25" s="17">
        <f>IFERROR(D25/C25,"-")</f>
        <v/>
      </c>
      <c r="G25" s="17">
        <f>IFERROR(E25/C25,"-")</f>
        <v/>
      </c>
      <c r="H25" s="2" t="n"/>
      <c r="I25" s="2" t="n"/>
      <c r="J25" s="2" t="n"/>
      <c r="K25" s="2" t="n"/>
      <c r="L25" s="2" t="n"/>
    </row>
    <row r="26" ht="18" customHeight="1">
      <c r="A26" s="13" t="n"/>
      <c r="B26" s="13" t="n"/>
      <c r="C26" s="13" t="n"/>
      <c r="D26" s="13" t="n"/>
      <c r="E26" s="13" t="n"/>
      <c r="F26" s="16">
        <f>IFERROR(D26/C26,"-")</f>
        <v/>
      </c>
      <c r="G26" s="16">
        <f>IFERROR(E26/C26,"-")</f>
        <v/>
      </c>
      <c r="H26" s="13" t="n"/>
      <c r="I26" s="13" t="n"/>
      <c r="J26" s="13" t="n"/>
      <c r="K26" s="13" t="n"/>
      <c r="L26" s="13" t="n"/>
    </row>
    <row r="27" ht="18" customHeight="1">
      <c r="A27" s="2" t="n"/>
      <c r="B27" s="2" t="n"/>
      <c r="C27" s="2" t="n"/>
      <c r="D27" s="2" t="n"/>
      <c r="E27" s="2" t="n"/>
      <c r="F27" s="17">
        <f>IFERROR(D27/C27,"-")</f>
        <v/>
      </c>
      <c r="G27" s="17">
        <f>IFERROR(E27/C27,"-")</f>
        <v/>
      </c>
      <c r="H27" s="2" t="n"/>
      <c r="I27" s="2" t="n"/>
      <c r="J27" s="2" t="n"/>
      <c r="K27" s="2" t="n"/>
      <c r="L27" s="2" t="n"/>
    </row>
    <row r="28" ht="18" customHeight="1">
      <c r="A28" s="13" t="n"/>
      <c r="B28" s="13" t="n"/>
      <c r="C28" s="13" t="n"/>
      <c r="D28" s="13" t="n"/>
      <c r="E28" s="13" t="n"/>
      <c r="F28" s="16">
        <f>IFERROR(D28/C28,"-")</f>
        <v/>
      </c>
      <c r="G28" s="16">
        <f>IFERROR(E28/C28,"-")</f>
        <v/>
      </c>
      <c r="H28" s="13" t="n"/>
      <c r="I28" s="13" t="n"/>
      <c r="J28" s="13" t="n"/>
      <c r="K28" s="13" t="n"/>
      <c r="L28" s="13" t="n"/>
    </row>
    <row r="29" ht="18" customHeight="1">
      <c r="A29" s="2" t="n"/>
      <c r="B29" s="2" t="n"/>
      <c r="C29" s="2" t="n"/>
      <c r="D29" s="2" t="n"/>
      <c r="E29" s="2" t="n"/>
      <c r="F29" s="17">
        <f>IFERROR(D29/C29,"-")</f>
        <v/>
      </c>
      <c r="G29" s="17">
        <f>IFERROR(E29/C29,"-")</f>
        <v/>
      </c>
      <c r="H29" s="2" t="n"/>
      <c r="I29" s="2" t="n"/>
      <c r="J29" s="2" t="n"/>
      <c r="K29" s="2" t="n"/>
      <c r="L29" s="2" t="n"/>
    </row>
    <row r="30" ht="18" customHeight="1">
      <c r="A30" s="13" t="n"/>
      <c r="B30" s="13" t="n"/>
      <c r="C30" s="13" t="n"/>
      <c r="D30" s="13" t="n"/>
      <c r="E30" s="13" t="n"/>
      <c r="F30" s="16">
        <f>IFERROR(D30/C30,"-")</f>
        <v/>
      </c>
      <c r="G30" s="16">
        <f>IFERROR(E30/C30,"-")</f>
        <v/>
      </c>
      <c r="H30" s="13" t="n"/>
      <c r="I30" s="13" t="n"/>
      <c r="J30" s="13" t="n"/>
      <c r="K30" s="13" t="n"/>
      <c r="L30" s="13" t="n"/>
    </row>
    <row r="31" ht="18" customHeight="1">
      <c r="A31" s="2" t="n"/>
      <c r="B31" s="2" t="n"/>
      <c r="C31" s="2" t="n"/>
      <c r="D31" s="2" t="n"/>
      <c r="E31" s="2" t="n"/>
      <c r="F31" s="17">
        <f>IFERROR(D31/C31,"-")</f>
        <v/>
      </c>
      <c r="G31" s="17">
        <f>IFERROR(E31/C31,"-")</f>
        <v/>
      </c>
      <c r="H31" s="2" t="n"/>
      <c r="I31" s="2" t="n"/>
      <c r="J31" s="2" t="n"/>
      <c r="K31" s="2" t="n"/>
      <c r="L31" s="2" t="n"/>
    </row>
    <row r="32" ht="18" customHeight="1">
      <c r="A32" s="13" t="n"/>
      <c r="B32" s="13" t="n"/>
      <c r="C32" s="13" t="n"/>
      <c r="D32" s="13" t="n"/>
      <c r="E32" s="13" t="n"/>
      <c r="F32" s="16">
        <f>IFERROR(D32/C32,"-")</f>
        <v/>
      </c>
      <c r="G32" s="16">
        <f>IFERROR(E32/C32,"-")</f>
        <v/>
      </c>
      <c r="H32" s="13" t="n"/>
      <c r="I32" s="13" t="n"/>
      <c r="J32" s="13" t="n"/>
      <c r="K32" s="13" t="n"/>
      <c r="L32" s="13" t="n"/>
    </row>
    <row r="33" ht="18" customHeight="1">
      <c r="A33" s="2" t="n"/>
      <c r="B33" s="2" t="n"/>
      <c r="C33" s="2" t="n"/>
      <c r="D33" s="2" t="n"/>
      <c r="E33" s="2" t="n"/>
      <c r="F33" s="17">
        <f>IFERROR(D33/C33,"-")</f>
        <v/>
      </c>
      <c r="G33" s="17">
        <f>IFERROR(E33/C33,"-")</f>
        <v/>
      </c>
      <c r="H33" s="2" t="n"/>
      <c r="I33" s="2" t="n"/>
      <c r="J33" s="2" t="n"/>
      <c r="K33" s="2" t="n"/>
      <c r="L33" s="2" t="n"/>
    </row>
    <row r="34" ht="18" customHeight="1">
      <c r="A34" s="13" t="n"/>
      <c r="B34" s="13" t="n"/>
      <c r="C34" s="13" t="n"/>
      <c r="D34" s="13" t="n"/>
      <c r="E34" s="13" t="n"/>
      <c r="F34" s="16">
        <f>IFERROR(D34/C34,"-")</f>
        <v/>
      </c>
      <c r="G34" s="16">
        <f>IFERROR(E34/C34,"-")</f>
        <v/>
      </c>
      <c r="H34" s="13" t="n"/>
      <c r="I34" s="13" t="n"/>
      <c r="J34" s="13" t="n"/>
      <c r="K34" s="13" t="n"/>
      <c r="L34" s="13" t="n"/>
    </row>
    <row r="35" ht="18" customHeight="1">
      <c r="A35" s="2" t="n"/>
      <c r="B35" s="2" t="n"/>
      <c r="C35" s="2" t="n"/>
      <c r="D35" s="2" t="n"/>
      <c r="E35" s="2" t="n"/>
      <c r="F35" s="17">
        <f>IFERROR(D35/C35,"-")</f>
        <v/>
      </c>
      <c r="G35" s="17">
        <f>IFERROR(E35/C35,"-")</f>
        <v/>
      </c>
      <c r="H35" s="2" t="n"/>
      <c r="I35" s="2" t="n"/>
      <c r="J35" s="2" t="n"/>
      <c r="K35" s="2" t="n"/>
      <c r="L35" s="2" t="n"/>
    </row>
    <row r="36" ht="18" customHeight="1">
      <c r="A36" s="13" t="n"/>
      <c r="B36" s="13" t="n"/>
      <c r="C36" s="13" t="n"/>
      <c r="D36" s="13" t="n"/>
      <c r="E36" s="13" t="n"/>
      <c r="F36" s="16">
        <f>IFERROR(D36/C36,"-")</f>
        <v/>
      </c>
      <c r="G36" s="16">
        <f>IFERROR(E36/C36,"-")</f>
        <v/>
      </c>
      <c r="H36" s="13" t="n"/>
      <c r="I36" s="13" t="n"/>
      <c r="J36" s="13" t="n"/>
      <c r="K36" s="13" t="n"/>
      <c r="L36" s="13" t="n"/>
    </row>
    <row r="37" ht="18" customHeight="1">
      <c r="A37" s="2" t="n"/>
      <c r="B37" s="2" t="n"/>
      <c r="C37" s="2" t="n"/>
      <c r="D37" s="2" t="n"/>
      <c r="E37" s="2" t="n"/>
      <c r="F37" s="17">
        <f>IFERROR(D37/C37,"-")</f>
        <v/>
      </c>
      <c r="G37" s="17">
        <f>IFERROR(E37/C37,"-")</f>
        <v/>
      </c>
      <c r="H37" s="2" t="n"/>
      <c r="I37" s="2" t="n"/>
      <c r="J37" s="2" t="n"/>
      <c r="K37" s="2" t="n"/>
      <c r="L37" s="2" t="n"/>
    </row>
    <row r="38" ht="18" customHeight="1">
      <c r="A38" s="13" t="n"/>
      <c r="B38" s="13" t="n"/>
      <c r="C38" s="13" t="n"/>
      <c r="D38" s="13" t="n"/>
      <c r="E38" s="13" t="n"/>
      <c r="F38" s="16">
        <f>IFERROR(D38/C38,"-")</f>
        <v/>
      </c>
      <c r="G38" s="16">
        <f>IFERROR(E38/C38,"-")</f>
        <v/>
      </c>
      <c r="H38" s="13" t="n"/>
      <c r="I38" s="13" t="n"/>
      <c r="J38" s="13" t="n"/>
      <c r="K38" s="13" t="n"/>
      <c r="L38" s="13" t="n"/>
    </row>
    <row r="39" ht="18" customHeight="1">
      <c r="A39" s="2" t="n"/>
      <c r="B39" s="2" t="n"/>
      <c r="C39" s="2" t="n"/>
      <c r="D39" s="2" t="n"/>
      <c r="E39" s="2" t="n"/>
      <c r="F39" s="17">
        <f>IFERROR(D39/C39,"-")</f>
        <v/>
      </c>
      <c r="G39" s="17">
        <f>IFERROR(E39/C39,"-")</f>
        <v/>
      </c>
      <c r="H39" s="2" t="n"/>
      <c r="I39" s="2" t="n"/>
      <c r="J39" s="2" t="n"/>
      <c r="K39" s="2" t="n"/>
      <c r="L39" s="2" t="n"/>
    </row>
    <row r="40" ht="18" customHeight="1">
      <c r="A40" s="13" t="n"/>
      <c r="B40" s="13" t="n"/>
      <c r="C40" s="13" t="n"/>
      <c r="D40" s="13" t="n"/>
      <c r="E40" s="13" t="n"/>
      <c r="F40" s="16">
        <f>IFERROR(D40/C40,"-")</f>
        <v/>
      </c>
      <c r="G40" s="16">
        <f>IFERROR(E40/C40,"-")</f>
        <v/>
      </c>
      <c r="H40" s="13" t="n"/>
      <c r="I40" s="13" t="n"/>
      <c r="J40" s="13" t="n"/>
      <c r="K40" s="13" t="n"/>
      <c r="L40" s="13" t="n"/>
    </row>
    <row r="41" ht="18" customHeight="1">
      <c r="A41" s="2" t="n"/>
      <c r="B41" s="2" t="n"/>
      <c r="C41" s="2" t="n"/>
      <c r="D41" s="2" t="n"/>
      <c r="E41" s="2" t="n"/>
      <c r="F41" s="17">
        <f>IFERROR(D41/C41,"-")</f>
        <v/>
      </c>
      <c r="G41" s="17">
        <f>IFERROR(E41/C41,"-")</f>
        <v/>
      </c>
      <c r="H41" s="2" t="n"/>
      <c r="I41" s="2" t="n"/>
      <c r="J41" s="2" t="n"/>
      <c r="K41" s="2" t="n"/>
      <c r="L41" s="2" t="n"/>
    </row>
    <row r="42" ht="18" customHeight="1">
      <c r="A42" s="13" t="n"/>
      <c r="B42" s="13" t="n"/>
      <c r="C42" s="13" t="n"/>
      <c r="D42" s="13" t="n"/>
      <c r="E42" s="13" t="n"/>
      <c r="F42" s="16">
        <f>IFERROR(D42/C42,"-")</f>
        <v/>
      </c>
      <c r="G42" s="16">
        <f>IFERROR(E42/C42,"-")</f>
        <v/>
      </c>
      <c r="H42" s="13" t="n"/>
      <c r="I42" s="13" t="n"/>
      <c r="J42" s="13" t="n"/>
      <c r="K42" s="13" t="n"/>
      <c r="L42" s="13" t="n"/>
    </row>
    <row r="43" ht="18" customHeight="1">
      <c r="A43" s="2" t="n"/>
      <c r="B43" s="2" t="n"/>
      <c r="C43" s="2" t="n"/>
      <c r="D43" s="2" t="n"/>
      <c r="E43" s="2" t="n"/>
      <c r="F43" s="17">
        <f>IFERROR(D43/C43,"-")</f>
        <v/>
      </c>
      <c r="G43" s="17">
        <f>IFERROR(E43/C43,"-")</f>
        <v/>
      </c>
      <c r="H43" s="2" t="n"/>
      <c r="I43" s="2" t="n"/>
      <c r="J43" s="2" t="n"/>
      <c r="K43" s="2" t="n"/>
      <c r="L43" s="2" t="n"/>
    </row>
    <row r="44" ht="18" customHeight="1">
      <c r="A44" s="13" t="n"/>
      <c r="B44" s="13" t="n"/>
      <c r="C44" s="13" t="n"/>
      <c r="D44" s="13" t="n"/>
      <c r="E44" s="13" t="n"/>
      <c r="F44" s="16">
        <f>IFERROR(D44/C44,"-")</f>
        <v/>
      </c>
      <c r="G44" s="16">
        <f>IFERROR(E44/C44,"-")</f>
        <v/>
      </c>
      <c r="H44" s="13" t="n"/>
      <c r="I44" s="13" t="n"/>
      <c r="J44" s="13" t="n"/>
      <c r="K44" s="13" t="n"/>
      <c r="L44" s="13" t="n"/>
    </row>
    <row r="45" ht="18" customHeight="1">
      <c r="A45" s="2" t="n"/>
      <c r="B45" s="2" t="n"/>
      <c r="C45" s="2" t="n"/>
      <c r="D45" s="2" t="n"/>
      <c r="E45" s="2" t="n"/>
      <c r="F45" s="17">
        <f>IFERROR(D45/C45,"-")</f>
        <v/>
      </c>
      <c r="G45" s="17">
        <f>IFERROR(E45/C45,"-")</f>
        <v/>
      </c>
      <c r="H45" s="2" t="n"/>
      <c r="I45" s="2" t="n"/>
      <c r="J45" s="2" t="n"/>
      <c r="K45" s="2" t="n"/>
      <c r="L45" s="2" t="n"/>
    </row>
    <row r="46" ht="18" customHeight="1">
      <c r="A46" s="13" t="n"/>
      <c r="B46" s="13" t="n"/>
      <c r="C46" s="13" t="n"/>
      <c r="D46" s="13" t="n"/>
      <c r="E46" s="13" t="n"/>
      <c r="F46" s="16">
        <f>IFERROR(D46/C46,"-")</f>
        <v/>
      </c>
      <c r="G46" s="16">
        <f>IFERROR(E46/C46,"-")</f>
        <v/>
      </c>
      <c r="H46" s="13" t="n"/>
      <c r="I46" s="13" t="n"/>
      <c r="J46" s="13" t="n"/>
      <c r="K46" s="13" t="n"/>
      <c r="L46" s="13" t="n"/>
    </row>
    <row r="47" ht="18" customHeight="1">
      <c r="A47" s="2" t="n"/>
      <c r="B47" s="2" t="n"/>
      <c r="C47" s="2" t="n"/>
      <c r="D47" s="2" t="n"/>
      <c r="E47" s="2" t="n"/>
      <c r="F47" s="17">
        <f>IFERROR(D47/C47,"-")</f>
        <v/>
      </c>
      <c r="G47" s="17">
        <f>IFERROR(E47/C47,"-")</f>
        <v/>
      </c>
      <c r="H47" s="2" t="n"/>
      <c r="I47" s="2" t="n"/>
      <c r="J47" s="2" t="n"/>
      <c r="K47" s="2" t="n"/>
      <c r="L47" s="2" t="n"/>
    </row>
    <row r="48" ht="18" customHeight="1">
      <c r="A48" s="13" t="n"/>
      <c r="B48" s="13" t="n"/>
      <c r="C48" s="13" t="n"/>
      <c r="D48" s="13" t="n"/>
      <c r="E48" s="13" t="n"/>
      <c r="F48" s="16">
        <f>IFERROR(D48/C48,"-")</f>
        <v/>
      </c>
      <c r="G48" s="16">
        <f>IFERROR(E48/C48,"-")</f>
        <v/>
      </c>
      <c r="H48" s="13" t="n"/>
      <c r="I48" s="13" t="n"/>
      <c r="J48" s="13" t="n"/>
      <c r="K48" s="13" t="n"/>
      <c r="L48" s="13" t="n"/>
    </row>
    <row r="49" ht="18" customHeight="1">
      <c r="A49" s="2" t="n"/>
      <c r="B49" s="2" t="n"/>
      <c r="C49" s="2" t="n"/>
      <c r="D49" s="2" t="n"/>
      <c r="E49" s="2" t="n"/>
      <c r="F49" s="17">
        <f>IFERROR(D49/C49,"-")</f>
        <v/>
      </c>
      <c r="G49" s="17">
        <f>IFERROR(E49/C49,"-")</f>
        <v/>
      </c>
      <c r="H49" s="2" t="n"/>
      <c r="I49" s="2" t="n"/>
      <c r="J49" s="2" t="n"/>
      <c r="K49" s="2" t="n"/>
      <c r="L49" s="2" t="n"/>
    </row>
    <row r="50" ht="18" customHeight="1">
      <c r="A50" s="13" t="n"/>
      <c r="B50" s="13" t="n"/>
      <c r="C50" s="13" t="n"/>
      <c r="D50" s="13" t="n"/>
      <c r="E50" s="13" t="n"/>
      <c r="F50" s="16">
        <f>IFERROR(D50/C50,"-")</f>
        <v/>
      </c>
      <c r="G50" s="16">
        <f>IFERROR(E50/C50,"-")</f>
        <v/>
      </c>
      <c r="H50" s="13" t="n"/>
      <c r="I50" s="13" t="n"/>
      <c r="J50" s="13" t="n"/>
      <c r="K50" s="13" t="n"/>
      <c r="L50" s="13" t="n"/>
    </row>
    <row r="51" ht="18" customHeight="1">
      <c r="A51" s="2" t="n"/>
      <c r="B51" s="2" t="n"/>
      <c r="C51" s="2" t="n"/>
      <c r="D51" s="2" t="n"/>
      <c r="E51" s="2" t="n"/>
      <c r="F51" s="17">
        <f>IFERROR(D51/C51,"-")</f>
        <v/>
      </c>
      <c r="G51" s="17">
        <f>IFERROR(E51/C51,"-")</f>
        <v/>
      </c>
      <c r="H51" s="2" t="n"/>
      <c r="I51" s="2" t="n"/>
      <c r="J51" s="2" t="n"/>
      <c r="K51" s="2" t="n"/>
      <c r="L51" s="2" t="n"/>
    </row>
    <row r="52" ht="18" customHeight="1">
      <c r="A52" s="13" t="n"/>
      <c r="B52" s="13" t="n"/>
      <c r="C52" s="13" t="n"/>
      <c r="D52" s="13" t="n"/>
      <c r="E52" s="13" t="n"/>
      <c r="F52" s="16">
        <f>IFERROR(D52/C52,"-")</f>
        <v/>
      </c>
      <c r="G52" s="16">
        <f>IFERROR(E52/C52,"-")</f>
        <v/>
      </c>
      <c r="H52" s="13" t="n"/>
      <c r="I52" s="13" t="n"/>
      <c r="J52" s="13" t="n"/>
      <c r="K52" s="13" t="n"/>
      <c r="L52" s="13" t="n"/>
    </row>
    <row r="53" ht="18" customHeight="1">
      <c r="A53" s="2" t="n"/>
      <c r="B53" s="2" t="n"/>
      <c r="C53" s="2" t="n"/>
      <c r="D53" s="2" t="n"/>
      <c r="E53" s="2" t="n"/>
      <c r="F53" s="17">
        <f>IFERROR(D53/C53,"-")</f>
        <v/>
      </c>
      <c r="G53" s="17">
        <f>IFERROR(E53/C53,"-")</f>
        <v/>
      </c>
      <c r="H53" s="2" t="n"/>
      <c r="I53" s="2" t="n"/>
      <c r="J53" s="2" t="n"/>
      <c r="K53" s="2" t="n"/>
      <c r="L5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60" customWidth="1" min="5" max="5"/>
    <col width="16" customWidth="1" min="6" max="6"/>
  </cols>
  <sheetData>
    <row r="1" ht="24" customHeight="1">
      <c r="A1" s="15" t="inlineStr">
        <is>
          <t>Date</t>
        </is>
      </c>
      <c r="B1" s="15" t="inlineStr">
        <is>
          <t>Agent</t>
        </is>
      </c>
      <c r="C1" s="15" t="inlineStr">
        <is>
          <t>Memory Type</t>
        </is>
      </c>
      <c r="D1" s="15" t="inlineStr">
        <is>
          <t>Key</t>
        </is>
      </c>
      <c r="E1" s="15" t="inlineStr">
        <is>
          <t>Summary</t>
        </is>
      </c>
      <c r="F1" s="15" t="inlineStr">
        <is>
          <t>Last Updated</t>
        </is>
      </c>
    </row>
    <row r="2">
      <c r="A2" s="13" t="n"/>
      <c r="B2" s="13" t="n"/>
      <c r="C2" s="13" t="n"/>
      <c r="D2" s="13" t="n"/>
      <c r="E2" s="13" t="n"/>
      <c r="F2" s="13" t="n"/>
    </row>
    <row r="3">
      <c r="A3" s="2" t="n"/>
      <c r="B3" s="2" t="n"/>
      <c r="C3" s="2" t="n"/>
      <c r="D3" s="2" t="n"/>
      <c r="E3" s="2" t="n"/>
      <c r="F3" s="2" t="n"/>
    </row>
    <row r="4">
      <c r="A4" s="13" t="n"/>
      <c r="B4" s="13" t="n"/>
      <c r="C4" s="13" t="n"/>
      <c r="D4" s="13" t="n"/>
      <c r="E4" s="13" t="n"/>
      <c r="F4" s="13" t="n"/>
    </row>
    <row r="5">
      <c r="A5" s="2" t="n"/>
      <c r="B5" s="2" t="n"/>
      <c r="C5" s="2" t="n"/>
      <c r="D5" s="2" t="n"/>
      <c r="E5" s="2" t="n"/>
      <c r="F5" s="2" t="n"/>
    </row>
    <row r="6">
      <c r="A6" s="13" t="n"/>
      <c r="B6" s="13" t="n"/>
      <c r="C6" s="13" t="n"/>
      <c r="D6" s="13" t="n"/>
      <c r="E6" s="13" t="n"/>
      <c r="F6" s="13" t="n"/>
    </row>
    <row r="7">
      <c r="A7" s="2" t="n"/>
      <c r="B7" s="2" t="n"/>
      <c r="C7" s="2" t="n"/>
      <c r="D7" s="2" t="n"/>
      <c r="E7" s="2" t="n"/>
      <c r="F7" s="2" t="n"/>
    </row>
    <row r="8">
      <c r="A8" s="13" t="n"/>
      <c r="B8" s="13" t="n"/>
      <c r="C8" s="13" t="n"/>
      <c r="D8" s="13" t="n"/>
      <c r="E8" s="13" t="n"/>
      <c r="F8" s="13" t="n"/>
    </row>
    <row r="9">
      <c r="A9" s="2" t="n"/>
      <c r="B9" s="2" t="n"/>
      <c r="C9" s="2" t="n"/>
      <c r="D9" s="2" t="n"/>
      <c r="E9" s="2" t="n"/>
      <c r="F9" s="2" t="n"/>
    </row>
    <row r="10">
      <c r="A10" s="13" t="n"/>
      <c r="B10" s="13" t="n"/>
      <c r="C10" s="13" t="n"/>
      <c r="D10" s="13" t="n"/>
      <c r="E10" s="13" t="n"/>
      <c r="F10" s="13" t="n"/>
    </row>
    <row r="11">
      <c r="A11" s="2" t="n"/>
      <c r="B11" s="2" t="n"/>
      <c r="C11" s="2" t="n"/>
      <c r="D11" s="2" t="n"/>
      <c r="E11" s="2" t="n"/>
      <c r="F11" s="2" t="n"/>
    </row>
    <row r="12">
      <c r="A12" s="13" t="n"/>
      <c r="B12" s="13" t="n"/>
      <c r="C12" s="13" t="n"/>
      <c r="D12" s="13" t="n"/>
      <c r="E12" s="13" t="n"/>
      <c r="F12" s="13" t="n"/>
    </row>
    <row r="13">
      <c r="A13" s="2" t="n"/>
      <c r="B13" s="2" t="n"/>
      <c r="C13" s="2" t="n"/>
      <c r="D13" s="2" t="n"/>
      <c r="E13" s="2" t="n"/>
      <c r="F13" s="2" t="n"/>
    </row>
    <row r="14">
      <c r="A14" s="13" t="n"/>
      <c r="B14" s="13" t="n"/>
      <c r="C14" s="13" t="n"/>
      <c r="D14" s="13" t="n"/>
      <c r="E14" s="13" t="n"/>
      <c r="F14" s="13" t="n"/>
    </row>
    <row r="15">
      <c r="A15" s="2" t="n"/>
      <c r="B15" s="2" t="n"/>
      <c r="C15" s="2" t="n"/>
      <c r="D15" s="2" t="n"/>
      <c r="E15" s="2" t="n"/>
      <c r="F15" s="2" t="n"/>
    </row>
    <row r="16">
      <c r="A16" s="13" t="n"/>
      <c r="B16" s="13" t="n"/>
      <c r="C16" s="13" t="n"/>
      <c r="D16" s="13" t="n"/>
      <c r="E16" s="13" t="n"/>
      <c r="F16" s="13" t="n"/>
    </row>
    <row r="17">
      <c r="A17" s="2" t="n"/>
      <c r="B17" s="2" t="n"/>
      <c r="C17" s="2" t="n"/>
      <c r="D17" s="2" t="n"/>
      <c r="E17" s="2" t="n"/>
      <c r="F17" s="2" t="n"/>
    </row>
    <row r="18">
      <c r="A18" s="13" t="n"/>
      <c r="B18" s="13" t="n"/>
      <c r="C18" s="13" t="n"/>
      <c r="D18" s="13" t="n"/>
      <c r="E18" s="13" t="n"/>
      <c r="F18" s="13" t="n"/>
    </row>
    <row r="19">
      <c r="A19" s="2" t="n"/>
      <c r="B19" s="2" t="n"/>
      <c r="C19" s="2" t="n"/>
      <c r="D19" s="2" t="n"/>
      <c r="E19" s="2" t="n"/>
      <c r="F19" s="2" t="n"/>
    </row>
    <row r="20">
      <c r="A20" s="13" t="n"/>
      <c r="B20" s="13" t="n"/>
      <c r="C20" s="13" t="n"/>
      <c r="D20" s="13" t="n"/>
      <c r="E20" s="13" t="n"/>
      <c r="F20" s="13" t="n"/>
    </row>
    <row r="21">
      <c r="A21" s="2" t="n"/>
      <c r="B21" s="2" t="n"/>
      <c r="C21" s="2" t="n"/>
      <c r="D21" s="2" t="n"/>
      <c r="E21" s="2" t="n"/>
      <c r="F21" s="2" t="n"/>
    </row>
    <row r="22">
      <c r="A22" s="13" t="n"/>
      <c r="B22" s="13" t="n"/>
      <c r="C22" s="13" t="n"/>
      <c r="D22" s="13" t="n"/>
      <c r="E22" s="13" t="n"/>
      <c r="F22" s="13" t="n"/>
    </row>
    <row r="23">
      <c r="A23" s="2" t="n"/>
      <c r="B23" s="2" t="n"/>
      <c r="C23" s="2" t="n"/>
      <c r="D23" s="2" t="n"/>
      <c r="E23" s="2" t="n"/>
      <c r="F23" s="2" t="n"/>
    </row>
    <row r="24">
      <c r="A24" s="13" t="n"/>
      <c r="B24" s="13" t="n"/>
      <c r="C24" s="13" t="n"/>
      <c r="D24" s="13" t="n"/>
      <c r="E24" s="13" t="n"/>
      <c r="F24" s="13" t="n"/>
    </row>
    <row r="25">
      <c r="A25" s="2" t="n"/>
      <c r="B25" s="2" t="n"/>
      <c r="C25" s="2" t="n"/>
      <c r="D25" s="2" t="n"/>
      <c r="E25" s="2" t="n"/>
      <c r="F25" s="2" t="n"/>
    </row>
    <row r="26">
      <c r="A26" s="13" t="n"/>
      <c r="B26" s="13" t="n"/>
      <c r="C26" s="13" t="n"/>
      <c r="D26" s="13" t="n"/>
      <c r="E26" s="13" t="n"/>
      <c r="F26" s="13" t="n"/>
    </row>
    <row r="27">
      <c r="A27" s="2" t="n"/>
      <c r="B27" s="2" t="n"/>
      <c r="C27" s="2" t="n"/>
      <c r="D27" s="2" t="n"/>
      <c r="E27" s="2" t="n"/>
      <c r="F27" s="2" t="n"/>
    </row>
    <row r="28">
      <c r="A28" s="13" t="n"/>
      <c r="B28" s="13" t="n"/>
      <c r="C28" s="13" t="n"/>
      <c r="D28" s="13" t="n"/>
      <c r="E28" s="13" t="n"/>
      <c r="F28" s="13" t="n"/>
    </row>
    <row r="29">
      <c r="A29" s="2" t="n"/>
      <c r="B29" s="2" t="n"/>
      <c r="C29" s="2" t="n"/>
      <c r="D29" s="2" t="n"/>
      <c r="E29" s="2" t="n"/>
      <c r="F29" s="2" t="n"/>
    </row>
    <row r="30">
      <c r="A30" s="13" t="n"/>
      <c r="B30" s="13" t="n"/>
      <c r="C30" s="13" t="n"/>
      <c r="D30" s="13" t="n"/>
      <c r="E30" s="13" t="n"/>
      <c r="F30" s="13" t="n"/>
    </row>
    <row r="31">
      <c r="A31" s="2" t="n"/>
      <c r="B31" s="2" t="n"/>
      <c r="C31" s="2" t="n"/>
      <c r="D31" s="2" t="n"/>
      <c r="E31" s="2" t="n"/>
      <c r="F31" s="2" t="n"/>
    </row>
    <row r="32">
      <c r="A32" s="13" t="n"/>
      <c r="B32" s="13" t="n"/>
      <c r="C32" s="13" t="n"/>
      <c r="D32" s="13" t="n"/>
      <c r="E32" s="13" t="n"/>
      <c r="F32" s="13" t="n"/>
    </row>
    <row r="33">
      <c r="A33" s="2" t="n"/>
      <c r="B33" s="2" t="n"/>
      <c r="C33" s="2" t="n"/>
      <c r="D33" s="2" t="n"/>
      <c r="E33" s="2" t="n"/>
      <c r="F33" s="2" t="n"/>
    </row>
    <row r="34">
      <c r="A34" s="13" t="n"/>
      <c r="B34" s="13" t="n"/>
      <c r="C34" s="13" t="n"/>
      <c r="D34" s="13" t="n"/>
      <c r="E34" s="13" t="n"/>
      <c r="F34" s="13" t="n"/>
    </row>
    <row r="35">
      <c r="A35" s="2" t="n"/>
      <c r="B35" s="2" t="n"/>
      <c r="C35" s="2" t="n"/>
      <c r="D35" s="2" t="n"/>
      <c r="E35" s="2" t="n"/>
      <c r="F35" s="2" t="n"/>
    </row>
    <row r="36">
      <c r="A36" s="13" t="n"/>
      <c r="B36" s="13" t="n"/>
      <c r="C36" s="13" t="n"/>
      <c r="D36" s="13" t="n"/>
      <c r="E36" s="13" t="n"/>
      <c r="F36" s="13" t="n"/>
    </row>
    <row r="37">
      <c r="A37" s="2" t="n"/>
      <c r="B37" s="2" t="n"/>
      <c r="C37" s="2" t="n"/>
      <c r="D37" s="2" t="n"/>
      <c r="E37" s="2" t="n"/>
      <c r="F37" s="2" t="n"/>
    </row>
    <row r="38">
      <c r="A38" s="13" t="n"/>
      <c r="B38" s="13" t="n"/>
      <c r="C38" s="13" t="n"/>
      <c r="D38" s="13" t="n"/>
      <c r="E38" s="13" t="n"/>
      <c r="F38" s="13" t="n"/>
    </row>
    <row r="39">
      <c r="A39" s="2" t="n"/>
      <c r="B39" s="2" t="n"/>
      <c r="C39" s="2" t="n"/>
      <c r="D39" s="2" t="n"/>
      <c r="E39" s="2" t="n"/>
      <c r="F39" s="2" t="n"/>
    </row>
    <row r="40">
      <c r="A40" s="13" t="n"/>
      <c r="B40" s="13" t="n"/>
      <c r="C40" s="13" t="n"/>
      <c r="D40" s="13" t="n"/>
      <c r="E40" s="13" t="n"/>
      <c r="F40" s="13" t="n"/>
    </row>
    <row r="41">
      <c r="A41" s="2" t="n"/>
      <c r="B41" s="2" t="n"/>
      <c r="C41" s="2" t="n"/>
      <c r="D41" s="2" t="n"/>
      <c r="E41" s="2" t="n"/>
      <c r="F41" s="2" t="n"/>
    </row>
    <row r="42">
      <c r="A42" s="13" t="n"/>
      <c r="B42" s="13" t="n"/>
      <c r="C42" s="13" t="n"/>
      <c r="D42" s="13" t="n"/>
      <c r="E42" s="13" t="n"/>
      <c r="F42" s="13" t="n"/>
    </row>
    <row r="43">
      <c r="A43" s="2" t="n"/>
      <c r="B43" s="2" t="n"/>
      <c r="C43" s="2" t="n"/>
      <c r="D43" s="2" t="n"/>
      <c r="E43" s="2" t="n"/>
      <c r="F43" s="2" t="n"/>
    </row>
    <row r="44">
      <c r="A44" s="13" t="n"/>
      <c r="B44" s="13" t="n"/>
      <c r="C44" s="13" t="n"/>
      <c r="D44" s="13" t="n"/>
      <c r="E44" s="13" t="n"/>
      <c r="F44" s="13" t="n"/>
    </row>
    <row r="45">
      <c r="A45" s="2" t="n"/>
      <c r="B45" s="2" t="n"/>
      <c r="C45" s="2" t="n"/>
      <c r="D45" s="2" t="n"/>
      <c r="E45" s="2" t="n"/>
      <c r="F45" s="2" t="n"/>
    </row>
    <row r="46">
      <c r="A46" s="13" t="n"/>
      <c r="B46" s="13" t="n"/>
      <c r="C46" s="13" t="n"/>
      <c r="D46" s="13" t="n"/>
      <c r="E46" s="13" t="n"/>
      <c r="F46" s="13" t="n"/>
    </row>
    <row r="47">
      <c r="A47" s="2" t="n"/>
      <c r="B47" s="2" t="n"/>
      <c r="C47" s="2" t="n"/>
      <c r="D47" s="2" t="n"/>
      <c r="E47" s="2" t="n"/>
      <c r="F47" s="2" t="n"/>
    </row>
    <row r="48">
      <c r="A48" s="13" t="n"/>
      <c r="B48" s="13" t="n"/>
      <c r="C48" s="13" t="n"/>
      <c r="D48" s="13" t="n"/>
      <c r="E48" s="13" t="n"/>
      <c r="F48" s="13" t="n"/>
    </row>
    <row r="49">
      <c r="A49" s="2" t="n"/>
      <c r="B49" s="2" t="n"/>
      <c r="C49" s="2" t="n"/>
      <c r="D49" s="2" t="n"/>
      <c r="E49" s="2" t="n"/>
      <c r="F49" s="2" t="n"/>
    </row>
    <row r="50">
      <c r="A50" s="13" t="n"/>
      <c r="B50" s="13" t="n"/>
      <c r="C50" s="13" t="n"/>
      <c r="D50" s="13" t="n"/>
      <c r="E50" s="13" t="n"/>
      <c r="F50" s="13" t="n"/>
    </row>
    <row r="51">
      <c r="A51" s="2" t="n"/>
      <c r="B51" s="2" t="n"/>
      <c r="C51" s="2" t="n"/>
      <c r="D51" s="2" t="n"/>
      <c r="E51" s="2" t="n"/>
      <c r="F51" s="2" t="n"/>
    </row>
    <row r="52">
      <c r="A52" s="13" t="n"/>
      <c r="B52" s="13" t="n"/>
      <c r="C52" s="13" t="n"/>
      <c r="D52" s="13" t="n"/>
      <c r="E52" s="13" t="n"/>
      <c r="F52" s="13" t="n"/>
    </row>
    <row r="53">
      <c r="A53" s="2" t="n"/>
      <c r="B53" s="2" t="n"/>
      <c r="C53" s="2" t="n"/>
      <c r="D53" s="2" t="n"/>
      <c r="E53" s="2" t="n"/>
      <c r="F53" s="2" t="n"/>
    </row>
    <row r="54">
      <c r="A54" s="13" t="n"/>
      <c r="B54" s="13" t="n"/>
      <c r="C54" s="13" t="n"/>
      <c r="D54" s="13" t="n"/>
      <c r="E54" s="13" t="n"/>
      <c r="F54" s="13" t="n"/>
    </row>
    <row r="55">
      <c r="A55" s="2" t="n"/>
      <c r="B55" s="2" t="n"/>
      <c r="C55" s="2" t="n"/>
      <c r="D55" s="2" t="n"/>
      <c r="E55" s="2" t="n"/>
      <c r="F55" s="2" t="n"/>
    </row>
    <row r="56">
      <c r="A56" s="13" t="n"/>
      <c r="B56" s="13" t="n"/>
      <c r="C56" s="13" t="n"/>
      <c r="D56" s="13" t="n"/>
      <c r="E56" s="13" t="n"/>
      <c r="F56" s="13" t="n"/>
    </row>
    <row r="57">
      <c r="A57" s="2" t="n"/>
      <c r="B57" s="2" t="n"/>
      <c r="C57" s="2" t="n"/>
      <c r="D57" s="2" t="n"/>
      <c r="E57" s="2" t="n"/>
      <c r="F57" s="2" t="n"/>
    </row>
    <row r="58">
      <c r="A58" s="13" t="n"/>
      <c r="B58" s="13" t="n"/>
      <c r="C58" s="13" t="n"/>
      <c r="D58" s="13" t="n"/>
      <c r="E58" s="13" t="n"/>
      <c r="F58" s="13" t="n"/>
    </row>
    <row r="59">
      <c r="A59" s="2" t="n"/>
      <c r="B59" s="2" t="n"/>
      <c r="C59" s="2" t="n"/>
      <c r="D59" s="2" t="n"/>
      <c r="E59" s="2" t="n"/>
      <c r="F59" s="2" t="n"/>
    </row>
    <row r="60">
      <c r="A60" s="13" t="n"/>
      <c r="B60" s="13" t="n"/>
      <c r="C60" s="13" t="n"/>
      <c r="D60" s="13" t="n"/>
      <c r="E60" s="13" t="n"/>
      <c r="F60" s="13" t="n"/>
    </row>
    <row r="61">
      <c r="A61" s="2" t="n"/>
      <c r="B61" s="2" t="n"/>
      <c r="C61" s="2" t="n"/>
      <c r="D61" s="2" t="n"/>
      <c r="E61" s="2" t="n"/>
      <c r="F61" s="2" t="n"/>
    </row>
    <row r="62">
      <c r="A62" s="13" t="n"/>
      <c r="B62" s="13" t="n"/>
      <c r="C62" s="13" t="n"/>
      <c r="D62" s="13" t="n"/>
      <c r="E62" s="13" t="n"/>
      <c r="F62" s="13" t="n"/>
    </row>
    <row r="63">
      <c r="A63" s="2" t="n"/>
      <c r="B63" s="2" t="n"/>
      <c r="C63" s="2" t="n"/>
      <c r="D63" s="2" t="n"/>
      <c r="E63" s="2" t="n"/>
      <c r="F63" s="2" t="n"/>
    </row>
    <row r="64">
      <c r="A64" s="13" t="n"/>
      <c r="B64" s="13" t="n"/>
      <c r="C64" s="13" t="n"/>
      <c r="D64" s="13" t="n"/>
      <c r="E64" s="13" t="n"/>
      <c r="F64" s="13" t="n"/>
    </row>
    <row r="65">
      <c r="A65" s="2" t="n"/>
      <c r="B65" s="2" t="n"/>
      <c r="C65" s="2" t="n"/>
      <c r="D65" s="2" t="n"/>
      <c r="E65" s="2" t="n"/>
      <c r="F65" s="2" t="n"/>
    </row>
    <row r="66">
      <c r="A66" s="13" t="n"/>
      <c r="B66" s="13" t="n"/>
      <c r="C66" s="13" t="n"/>
      <c r="D66" s="13" t="n"/>
      <c r="E66" s="13" t="n"/>
      <c r="F66" s="13" t="n"/>
    </row>
    <row r="67">
      <c r="A67" s="2" t="n"/>
      <c r="B67" s="2" t="n"/>
      <c r="C67" s="2" t="n"/>
      <c r="D67" s="2" t="n"/>
      <c r="E67" s="2" t="n"/>
      <c r="F67" s="2" t="n"/>
    </row>
    <row r="68">
      <c r="A68" s="13" t="n"/>
      <c r="B68" s="13" t="n"/>
      <c r="C68" s="13" t="n"/>
      <c r="D68" s="13" t="n"/>
      <c r="E68" s="13" t="n"/>
      <c r="F68" s="13" t="n"/>
    </row>
    <row r="69">
      <c r="A69" s="2" t="n"/>
      <c r="B69" s="2" t="n"/>
      <c r="C69" s="2" t="n"/>
      <c r="D69" s="2" t="n"/>
      <c r="E69" s="2" t="n"/>
      <c r="F69" s="2" t="n"/>
    </row>
    <row r="70">
      <c r="A70" s="13" t="n"/>
      <c r="B70" s="13" t="n"/>
      <c r="C70" s="13" t="n"/>
      <c r="D70" s="13" t="n"/>
      <c r="E70" s="13" t="n"/>
      <c r="F70" s="13" t="n"/>
    </row>
    <row r="71">
      <c r="A71" s="2" t="n"/>
      <c r="B71" s="2" t="n"/>
      <c r="C71" s="2" t="n"/>
      <c r="D71" s="2" t="n"/>
      <c r="E71" s="2" t="n"/>
      <c r="F71" s="2" t="n"/>
    </row>
    <row r="72">
      <c r="A72" s="13" t="n"/>
      <c r="B72" s="13" t="n"/>
      <c r="C72" s="13" t="n"/>
      <c r="D72" s="13" t="n"/>
      <c r="E72" s="13" t="n"/>
      <c r="F72" s="13" t="n"/>
    </row>
    <row r="73">
      <c r="A73" s="2" t="n"/>
      <c r="B73" s="2" t="n"/>
      <c r="C73" s="2" t="n"/>
      <c r="D73" s="2" t="n"/>
      <c r="E73" s="2" t="n"/>
      <c r="F73" s="2" t="n"/>
    </row>
    <row r="74">
      <c r="A74" s="13" t="n"/>
      <c r="B74" s="13" t="n"/>
      <c r="C74" s="13" t="n"/>
      <c r="D74" s="13" t="n"/>
      <c r="E74" s="13" t="n"/>
      <c r="F74" s="13" t="n"/>
    </row>
    <row r="75">
      <c r="A75" s="2" t="n"/>
      <c r="B75" s="2" t="n"/>
      <c r="C75" s="2" t="n"/>
      <c r="D75" s="2" t="n"/>
      <c r="E75" s="2" t="n"/>
      <c r="F75" s="2" t="n"/>
    </row>
    <row r="76">
      <c r="A76" s="13" t="n"/>
      <c r="B76" s="13" t="n"/>
      <c r="C76" s="13" t="n"/>
      <c r="D76" s="13" t="n"/>
      <c r="E76" s="13" t="n"/>
      <c r="F76" s="13" t="n"/>
    </row>
    <row r="77">
      <c r="A77" s="2" t="n"/>
      <c r="B77" s="2" t="n"/>
      <c r="C77" s="2" t="n"/>
      <c r="D77" s="2" t="n"/>
      <c r="E77" s="2" t="n"/>
      <c r="F77" s="2" t="n"/>
    </row>
    <row r="78">
      <c r="A78" s="13" t="n"/>
      <c r="B78" s="13" t="n"/>
      <c r="C78" s="13" t="n"/>
      <c r="D78" s="13" t="n"/>
      <c r="E78" s="13" t="n"/>
      <c r="F78" s="13" t="n"/>
    </row>
    <row r="79">
      <c r="A79" s="2" t="n"/>
      <c r="B79" s="2" t="n"/>
      <c r="C79" s="2" t="n"/>
      <c r="D79" s="2" t="n"/>
      <c r="E79" s="2" t="n"/>
      <c r="F79" s="2" t="n"/>
    </row>
    <row r="80">
      <c r="A80" s="13" t="n"/>
      <c r="B80" s="13" t="n"/>
      <c r="C80" s="13" t="n"/>
      <c r="D80" s="13" t="n"/>
      <c r="E80" s="13" t="n"/>
      <c r="F80" s="13" t="n"/>
    </row>
    <row r="81">
      <c r="A81" s="2" t="n"/>
      <c r="B81" s="2" t="n"/>
      <c r="C81" s="2" t="n"/>
      <c r="D81" s="2" t="n"/>
      <c r="E81" s="2" t="n"/>
      <c r="F81" s="2" t="n"/>
    </row>
    <row r="82">
      <c r="A82" s="13" t="n"/>
      <c r="B82" s="13" t="n"/>
      <c r="C82" s="13" t="n"/>
      <c r="D82" s="13" t="n"/>
      <c r="E82" s="13" t="n"/>
      <c r="F82" s="13" t="n"/>
    </row>
    <row r="83">
      <c r="A83" s="2" t="n"/>
      <c r="B83" s="2" t="n"/>
      <c r="C83" s="2" t="n"/>
      <c r="D83" s="2" t="n"/>
      <c r="E83" s="2" t="n"/>
      <c r="F83" s="2" t="n"/>
    </row>
    <row r="84">
      <c r="A84" s="13" t="n"/>
      <c r="B84" s="13" t="n"/>
      <c r="C84" s="13" t="n"/>
      <c r="D84" s="13" t="n"/>
      <c r="E84" s="13" t="n"/>
      <c r="F84" s="13" t="n"/>
    </row>
    <row r="85">
      <c r="A85" s="2" t="n"/>
      <c r="B85" s="2" t="n"/>
      <c r="C85" s="2" t="n"/>
      <c r="D85" s="2" t="n"/>
      <c r="E85" s="2" t="n"/>
      <c r="F85" s="2" t="n"/>
    </row>
    <row r="86">
      <c r="A86" s="13" t="n"/>
      <c r="B86" s="13" t="n"/>
      <c r="C86" s="13" t="n"/>
      <c r="D86" s="13" t="n"/>
      <c r="E86" s="13" t="n"/>
      <c r="F86" s="13" t="n"/>
    </row>
    <row r="87">
      <c r="A87" s="2" t="n"/>
      <c r="B87" s="2" t="n"/>
      <c r="C87" s="2" t="n"/>
      <c r="D87" s="2" t="n"/>
      <c r="E87" s="2" t="n"/>
      <c r="F87" s="2" t="n"/>
    </row>
    <row r="88">
      <c r="A88" s="13" t="n"/>
      <c r="B88" s="13" t="n"/>
      <c r="C88" s="13" t="n"/>
      <c r="D88" s="13" t="n"/>
      <c r="E88" s="13" t="n"/>
      <c r="F88" s="13" t="n"/>
    </row>
    <row r="89">
      <c r="A89" s="2" t="n"/>
      <c r="B89" s="2" t="n"/>
      <c r="C89" s="2" t="n"/>
      <c r="D89" s="2" t="n"/>
      <c r="E89" s="2" t="n"/>
      <c r="F89" s="2" t="n"/>
    </row>
    <row r="90">
      <c r="A90" s="13" t="n"/>
      <c r="B90" s="13" t="n"/>
      <c r="C90" s="13" t="n"/>
      <c r="D90" s="13" t="n"/>
      <c r="E90" s="13" t="n"/>
      <c r="F90" s="13" t="n"/>
    </row>
    <row r="91">
      <c r="A91" s="2" t="n"/>
      <c r="B91" s="2" t="n"/>
      <c r="C91" s="2" t="n"/>
      <c r="D91" s="2" t="n"/>
      <c r="E91" s="2" t="n"/>
      <c r="F91" s="2" t="n"/>
    </row>
    <row r="92">
      <c r="A92" s="13" t="n"/>
      <c r="B92" s="13" t="n"/>
      <c r="C92" s="13" t="n"/>
      <c r="D92" s="13" t="n"/>
      <c r="E92" s="13" t="n"/>
      <c r="F92" s="13" t="n"/>
    </row>
    <row r="93">
      <c r="A93" s="2" t="n"/>
      <c r="B93" s="2" t="n"/>
      <c r="C93" s="2" t="n"/>
      <c r="D93" s="2" t="n"/>
      <c r="E93" s="2" t="n"/>
      <c r="F93" s="2" t="n"/>
    </row>
    <row r="94">
      <c r="A94" s="13" t="n"/>
      <c r="B94" s="13" t="n"/>
      <c r="C94" s="13" t="n"/>
      <c r="D94" s="13" t="n"/>
      <c r="E94" s="13" t="n"/>
      <c r="F94" s="13" t="n"/>
    </row>
    <row r="95">
      <c r="A95" s="2" t="n"/>
      <c r="B95" s="2" t="n"/>
      <c r="C95" s="2" t="n"/>
      <c r="D95" s="2" t="n"/>
      <c r="E95" s="2" t="n"/>
      <c r="F95" s="2" t="n"/>
    </row>
    <row r="96">
      <c r="A96" s="13" t="n"/>
      <c r="B96" s="13" t="n"/>
      <c r="C96" s="13" t="n"/>
      <c r="D96" s="13" t="n"/>
      <c r="E96" s="13" t="n"/>
      <c r="F96" s="13" t="n"/>
    </row>
    <row r="97">
      <c r="A97" s="2" t="n"/>
      <c r="B97" s="2" t="n"/>
      <c r="C97" s="2" t="n"/>
      <c r="D97" s="2" t="n"/>
      <c r="E97" s="2" t="n"/>
      <c r="F97" s="2" t="n"/>
    </row>
    <row r="98">
      <c r="A98" s="13" t="n"/>
      <c r="B98" s="13" t="n"/>
      <c r="C98" s="13" t="n"/>
      <c r="D98" s="13" t="n"/>
      <c r="E98" s="13" t="n"/>
      <c r="F98" s="13" t="n"/>
    </row>
    <row r="99">
      <c r="A99" s="2" t="n"/>
      <c r="B99" s="2" t="n"/>
      <c r="C99" s="2" t="n"/>
      <c r="D99" s="2" t="n"/>
      <c r="E99" s="2" t="n"/>
      <c r="F99" s="2" t="n"/>
    </row>
    <row r="100">
      <c r="A100" s="13" t="n"/>
      <c r="B100" s="13" t="n"/>
      <c r="C100" s="13" t="n"/>
      <c r="D100" s="13" t="n"/>
      <c r="E100" s="13" t="n"/>
      <c r="F100" s="13" t="n"/>
    </row>
    <row r="101">
      <c r="A101" s="2" t="n"/>
      <c r="B101" s="2" t="n"/>
      <c r="C101" s="2" t="n"/>
      <c r="D101" s="2" t="n"/>
      <c r="E101" s="2" t="n"/>
      <c r="F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2026-04-03T09:01:24Z</dcterms:modified>
</cp:coreProperties>
</file>