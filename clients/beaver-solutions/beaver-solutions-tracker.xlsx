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s" sheetId="2" state="visible" r:id="rId4"/>
    <sheet name="Messages" sheetId="3" state="visible" r:id="rId5"/>
    <sheet name="Weekly KPIs" sheetId="4" state="visible" r:id="rId6"/>
    <sheet name="Agent Mem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<sst xmlns="http://schemas.openxmlformats.org/spreadsheetml/2006/main" count="81" uniqueCount="72">
  <si>
    <t xml:space="preserve">The Dam — Beaver Solutions — Performance Tracker</t>
  </si>
  <si>
    <t xml:space="preserve">Auto-populated from Supabase export. Run: node server/scripts/exportClientData.js beaver-solutions</t>
  </si>
  <si>
    <t xml:space="preserve">KEY METRICS</t>
  </si>
  <si>
    <t xml:space="preserve">Metric</t>
  </si>
  <si>
    <t xml:space="preserve">Value</t>
  </si>
  <si>
    <t xml:space="preserve">Notes</t>
  </si>
  <si>
    <t xml:space="preserve">Total Leads Found</t>
  </si>
  <si>
    <t xml:space="preserve">All prospects sourced</t>
  </si>
  <si>
    <t xml:space="preserve">Messages Drafted</t>
  </si>
  <si>
    <t xml:space="preserve">By Sales Beaver</t>
  </si>
  <si>
    <t xml:space="preserve">Ranger Pass Rate</t>
  </si>
  <si>
    <t xml:space="preserve">% passing Ranger gates</t>
  </si>
  <si>
    <t xml:space="preserve">Emails Sent</t>
  </si>
  <si>
    <t xml:space="preserve">Approved &amp; delivered</t>
  </si>
  <si>
    <t xml:space="preserve">Replies Received</t>
  </si>
  <si>
    <t xml:space="preserve">Prospects who replied</t>
  </si>
  <si>
    <t xml:space="preserve">Reply Rate</t>
  </si>
  <si>
    <t xml:space="preserve">Replies / Sent</t>
  </si>
  <si>
    <t xml:space="preserve">Meetings Booked</t>
  </si>
  <si>
    <t xml:space="preserve">Booked via pipeline</t>
  </si>
  <si>
    <t xml:space="preserve">Meeting Rate</t>
  </si>
  <si>
    <t xml:space="preserve">Meetings / Sent</t>
  </si>
  <si>
    <t xml:space="preserve">P1 Leads</t>
  </si>
  <si>
    <t xml:space="preserve">High-signal prospects</t>
  </si>
  <si>
    <t xml:space="preserve">P2 Leads</t>
  </si>
  <si>
    <t xml:space="preserve">Medium-signal prospects</t>
  </si>
  <si>
    <t xml:space="preserve">Ranger Rejections</t>
  </si>
  <si>
    <t xml:space="preserve">Messages blocked by Ranger</t>
  </si>
  <si>
    <t xml:space="preserve">PIPELINE FUNNEL</t>
  </si>
  <si>
    <t xml:space="preserve">Stage</t>
  </si>
  <si>
    <t xml:space="preserve">Count</t>
  </si>
  <si>
    <t xml:space="preserve">Prospecting</t>
  </si>
  <si>
    <t xml:space="preserve">Outreach</t>
  </si>
  <si>
    <t xml:space="preserve">Qualifying</t>
  </si>
  <si>
    <t xml:space="preserve">Booked</t>
  </si>
  <si>
    <t xml:space="preserve">Closed Won</t>
  </si>
  <si>
    <t xml:space="preserve">Closed Lost</t>
  </si>
  <si>
    <t xml:space="preserve">Date Added</t>
  </si>
  <si>
    <t xml:space="preserve">Name</t>
  </si>
  <si>
    <t xml:space="preserve">Company</t>
  </si>
  <si>
    <t xml:space="preserve">Title</t>
  </si>
  <si>
    <t xml:space="preserve">Email</t>
  </si>
  <si>
    <t xml:space="preserve">Signal Tier</t>
  </si>
  <si>
    <t xml:space="preserve">Status</t>
  </si>
  <si>
    <t xml:space="preserve">Score</t>
  </si>
  <si>
    <t xml:space="preserve">Pipeline Stage</t>
  </si>
  <si>
    <t xml:space="preserve">Source</t>
  </si>
  <si>
    <t xml:space="preserve">Apollo Enriched</t>
  </si>
  <si>
    <t xml:space="preserve">Email Verified</t>
  </si>
  <si>
    <t xml:space="preserve">LinkedIn URL</t>
  </si>
  <si>
    <t xml:space="preserve">Notes / Angle</t>
  </si>
  <si>
    <t xml:space="preserve">Date Created</t>
  </si>
  <si>
    <t xml:space="preserve">Lead Name</t>
  </si>
  <si>
    <t xml:space="preserve">Channel</t>
  </si>
  <si>
    <t xml:space="preserve">Subject Line</t>
  </si>
  <si>
    <t xml:space="preserve">Body Preview</t>
  </si>
  <si>
    <t xml:space="preserve">Ranger Score</t>
  </si>
  <si>
    <t xml:space="preserve">Ranger Notes</t>
  </si>
  <si>
    <t xml:space="preserve">Sent At</t>
  </si>
  <si>
    <t xml:space="preserve">Gmail Thread ID</t>
  </si>
  <si>
    <t xml:space="preserve">Reply Detected</t>
  </si>
  <si>
    <t xml:space="preserve">Week Starting</t>
  </si>
  <si>
    <t xml:space="preserve">Leads Found</t>
  </si>
  <si>
    <t xml:space="preserve">Replies</t>
  </si>
  <si>
    <t xml:space="preserve">Best Performing Angle</t>
  </si>
  <si>
    <t xml:space="preserve">Director Notes</t>
  </si>
  <si>
    <t xml:space="preserve">Date</t>
  </si>
  <si>
    <t xml:space="preserve">Agent</t>
  </si>
  <si>
    <t xml:space="preserve">Memory Type</t>
  </si>
  <si>
    <t xml:space="preserve">Key</t>
  </si>
  <si>
    <t xml:space="preserve">Summary</t>
  </si>
  <si>
    <t xml:space="preserve">Last Updated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</si>
</sst>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FF00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C8FF00"/>
      <name val="Arial"/>
      <family val="0"/>
      <charset val="1"/>
    </font>
    <font>
      <b val="true"/>
      <sz val="10"/>
      <color rgb="FFC8FF00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11"/>
      <color rgb="FF00B4FF"/>
      <name val="Arial"/>
      <family val="0"/>
      <charset val="1"/>
    </font>
    <font>
      <b val="true"/>
      <sz val="10"/>
      <color rgb="FF00B4FF"/>
      <name val="Arial"/>
      <family val="0"/>
      <charset val="1"/>
    </font>
    <font>
      <b val="true"/>
      <sz val="10"/>
      <color rgb="FF060A0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60A0F"/>
        <bgColor rgb="FF000000"/>
      </patternFill>
    </fill>
    <fill>
      <patternFill patternType="solid">
        <fgColor rgb="FF0D1420"/>
        <bgColor rgb="FF060A0F"/>
      </patternFill>
    </fill>
    <fill>
      <patternFill patternType="solid">
        <fgColor rgb="FF00B4FF"/>
        <bgColor rgb="FF33CCCC"/>
      </patternFill>
    </fill>
    <fill>
      <patternFill patternType="solid">
        <fgColor rgb="FFFF8C00"/>
        <bgColor rgb="FFFF6600"/>
      </patternFill>
    </fill>
    <fill>
      <patternFill patternType="solid">
        <fgColor rgb="FFA855F7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8FF00"/>
      <rgbColor rgb="FFFF00FF"/>
      <rgbColor rgb="FF00FFFF"/>
      <rgbColor rgb="FF800000"/>
      <rgbColor rgb="FF008000"/>
      <rgbColor rgb="FF060A0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A855F7"/>
      <rgbColor rgb="FF94A3B8"/>
      <rgbColor rgb="FF003366"/>
      <rgbColor rgb="FF339966"/>
      <rgbColor rgb="FF0D142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FF00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5" t="s">
        <v>3</v>
      </c>
      <c r="B5" s="5" t="s">
        <v>4</v>
      </c>
      <c r="C5" s="5" t="s">
        <v>5</v>
      </c>
      <c r="D5" s="3"/>
      <c r="E5" s="3"/>
      <c r="F5" s="3"/>
      <c r="G5" s="3"/>
      <c r="H5" s="3"/>
    </row>
    <row r="6" customFormat="false" ht="18" hidden="false" customHeight="true" outlineLevel="0" collapsed="false">
      <c r="A6" s="6" t="s">
        <v>6</v>
      </c>
      <c r="B6" s="7" t="n">
        <f aca="false">COUNTA(Leads!A:A)-1</f>
        <v>0</v>
      </c>
      <c r="C6" s="8" t="s">
        <v>7</v>
      </c>
      <c r="D6" s="3"/>
      <c r="E6" s="3"/>
      <c r="F6" s="3"/>
      <c r="G6" s="3"/>
      <c r="H6" s="3"/>
    </row>
    <row r="7" customFormat="false" ht="18" hidden="false" customHeight="true" outlineLevel="0" collapsed="false">
      <c r="A7" s="6" t="s">
        <v>8</v>
      </c>
      <c r="B7" s="7" t="n">
        <f aca="false">COUNTA(Messages!A:A)-1</f>
        <v>0</v>
      </c>
      <c r="C7" s="8" t="s">
        <v>9</v>
      </c>
      <c r="D7" s="3"/>
      <c r="E7" s="3"/>
      <c r="F7" s="3"/>
      <c r="G7" s="3"/>
      <c r="H7" s="3"/>
    </row>
    <row r="8" customFormat="false" ht="18" hidden="false" customHeight="true" outlineLevel="0" collapsed="false">
      <c r="A8" s="6" t="s">
        <v>10</v>
      </c>
      <c r="B8" s="7" t="n">
        <f aca="false">IFERROR(COUNTIF(Messages!H:H,"sent")/COUNTA(Messages!A:A)-1,"-")</f>
        <v>-1</v>
      </c>
      <c r="C8" s="8" t="s">
        <v>11</v>
      </c>
      <c r="D8" s="3"/>
      <c r="E8" s="3"/>
      <c r="F8" s="3"/>
      <c r="G8" s="3"/>
      <c r="H8" s="3"/>
    </row>
    <row r="9" customFormat="false" ht="18" hidden="false" customHeight="true" outlineLevel="0" collapsed="false">
      <c r="A9" s="6" t="s">
        <v>12</v>
      </c>
      <c r="B9" s="7" t="n">
        <f aca="false">COUNTIF(Messages!H:H,"sent")</f>
        <v>0</v>
      </c>
      <c r="C9" s="8" t="s">
        <v>13</v>
      </c>
      <c r="D9" s="3"/>
      <c r="E9" s="3"/>
      <c r="F9" s="3"/>
      <c r="G9" s="3"/>
      <c r="H9" s="3"/>
    </row>
    <row r="10" customFormat="false" ht="18" hidden="false" customHeight="true" outlineLevel="0" collapsed="false">
      <c r="A10" s="6" t="s">
        <v>14</v>
      </c>
      <c r="B10" s="7" t="n">
        <f aca="false">COUNTIF(Leads!G:G,"replied")</f>
        <v>0</v>
      </c>
      <c r="C10" s="8" t="s">
        <v>15</v>
      </c>
      <c r="D10" s="3"/>
      <c r="E10" s="3"/>
      <c r="F10" s="3"/>
      <c r="G10" s="3"/>
      <c r="H10" s="3"/>
    </row>
    <row r="11" customFormat="false" ht="18" hidden="false" customHeight="true" outlineLevel="0" collapsed="false">
      <c r="A11" s="6" t="s">
        <v>16</v>
      </c>
      <c r="B11" s="7" t="str">
        <f aca="false">IFERROR(Dashboard!B10/Dashboard!B9,"-")</f>
        <v>-</v>
      </c>
      <c r="C11" s="8" t="s">
        <v>17</v>
      </c>
      <c r="D11" s="3"/>
      <c r="E11" s="3"/>
      <c r="F11" s="3"/>
      <c r="G11" s="3"/>
      <c r="H11" s="3"/>
    </row>
    <row r="12" customFormat="false" ht="18" hidden="false" customHeight="true" outlineLevel="0" collapsed="false">
      <c r="A12" s="6" t="s">
        <v>18</v>
      </c>
      <c r="B12" s="7" t="n">
        <f aca="false">COUNTIF(Leads!G:G,"meeting_booked")</f>
        <v>0</v>
      </c>
      <c r="C12" s="8" t="s">
        <v>19</v>
      </c>
      <c r="D12" s="3"/>
      <c r="E12" s="3"/>
      <c r="F12" s="3"/>
      <c r="G12" s="3"/>
      <c r="H12" s="3"/>
    </row>
    <row r="13" customFormat="false" ht="18" hidden="false" customHeight="true" outlineLevel="0" collapsed="false">
      <c r="A13" s="6" t="s">
        <v>20</v>
      </c>
      <c r="B13" s="7" t="str">
        <f aca="false">IFERROR(Dashboard!B12/Dashboard!B9,"-")</f>
        <v>-</v>
      </c>
      <c r="C13" s="8" t="s">
        <v>21</v>
      </c>
      <c r="D13" s="3"/>
      <c r="E13" s="3"/>
      <c r="F13" s="3"/>
      <c r="G13" s="3"/>
      <c r="H13" s="3"/>
    </row>
    <row r="14" customFormat="false" ht="18" hidden="false" customHeight="true" outlineLevel="0" collapsed="false">
      <c r="A14" s="6" t="s">
        <v>22</v>
      </c>
      <c r="B14" s="7" t="n">
        <f aca="false">COUNTIF(Leads!F:F,"P1")</f>
        <v>0</v>
      </c>
      <c r="C14" s="8" t="s">
        <v>23</v>
      </c>
      <c r="D14" s="3"/>
      <c r="E14" s="3"/>
      <c r="F14" s="3"/>
      <c r="G14" s="3"/>
      <c r="H14" s="3"/>
    </row>
    <row r="15" customFormat="false" ht="18" hidden="false" customHeight="true" outlineLevel="0" collapsed="false">
      <c r="A15" s="6" t="s">
        <v>24</v>
      </c>
      <c r="B15" s="7" t="n">
        <f aca="false">COUNTIF(Leads!F:F,"P2")</f>
        <v>0</v>
      </c>
      <c r="C15" s="8" t="s">
        <v>25</v>
      </c>
      <c r="D15" s="3"/>
      <c r="E15" s="3"/>
      <c r="F15" s="3"/>
      <c r="G15" s="3"/>
      <c r="H15" s="3"/>
    </row>
    <row r="16" customFormat="false" ht="18" hidden="false" customHeight="true" outlineLevel="0" collapsed="false">
      <c r="A16" s="6" t="s">
        <v>26</v>
      </c>
      <c r="B16" s="7" t="n">
        <f aca="false">COUNTIF(Messages!H:H,"ranger_rejected")</f>
        <v>0</v>
      </c>
      <c r="C16" s="8" t="s">
        <v>27</v>
      </c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9" t="s">
        <v>28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10" t="s">
        <v>29</v>
      </c>
      <c r="B19" s="10" t="s">
        <v>30</v>
      </c>
      <c r="C19" s="3"/>
      <c r="D19" s="3"/>
      <c r="E19" s="3"/>
      <c r="F19" s="3"/>
      <c r="G19" s="3"/>
      <c r="H19" s="3"/>
    </row>
    <row r="20" customFormat="false" ht="18" hidden="false" customHeight="true" outlineLevel="0" collapsed="false">
      <c r="A20" s="6" t="s">
        <v>31</v>
      </c>
      <c r="B20" s="11" t="n">
        <f aca="false">COUNTIF(Leads!I:I,"prospecting")</f>
        <v>0</v>
      </c>
      <c r="C20" s="3"/>
      <c r="D20" s="3"/>
      <c r="E20" s="3"/>
      <c r="F20" s="3"/>
      <c r="G20" s="3"/>
      <c r="H20" s="3"/>
    </row>
    <row r="21" customFormat="false" ht="18" hidden="false" customHeight="true" outlineLevel="0" collapsed="false">
      <c r="A21" s="6" t="s">
        <v>32</v>
      </c>
      <c r="B21" s="11" t="n">
        <f aca="false">COUNTIF(Leads!I:I,"outreach")</f>
        <v>0</v>
      </c>
      <c r="C21" s="3"/>
      <c r="D21" s="3"/>
      <c r="E21" s="3"/>
      <c r="F21" s="3"/>
      <c r="G21" s="3"/>
      <c r="H21" s="3"/>
    </row>
    <row r="22" customFormat="false" ht="18" hidden="false" customHeight="true" outlineLevel="0" collapsed="false">
      <c r="A22" s="6" t="s">
        <v>33</v>
      </c>
      <c r="B22" s="11" t="n">
        <f aca="false">COUNTIF(Leads!I:I,"qualifying")</f>
        <v>0</v>
      </c>
      <c r="C22" s="3"/>
      <c r="D22" s="3"/>
      <c r="E22" s="3"/>
      <c r="F22" s="3"/>
      <c r="G22" s="3"/>
      <c r="H22" s="3"/>
    </row>
    <row r="23" customFormat="false" ht="18" hidden="false" customHeight="true" outlineLevel="0" collapsed="false">
      <c r="A23" s="6" t="s">
        <v>34</v>
      </c>
      <c r="B23" s="11" t="n">
        <f aca="false">COUNTIF(Leads!I:I,"booked")</f>
        <v>0</v>
      </c>
      <c r="C23" s="3"/>
      <c r="D23" s="3"/>
      <c r="E23" s="3"/>
      <c r="F23" s="3"/>
      <c r="G23" s="3"/>
      <c r="H23" s="3"/>
    </row>
    <row r="24" customFormat="false" ht="18" hidden="false" customHeight="true" outlineLevel="0" collapsed="false">
      <c r="A24" s="6" t="s">
        <v>35</v>
      </c>
      <c r="B24" s="11" t="n">
        <f aca="false">COUNTIF(Leads!G:G,"closed_won")</f>
        <v>0</v>
      </c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6" t="s">
        <v>36</v>
      </c>
      <c r="B25" s="11" t="n">
        <f aca="false">COUNTIF(Leads!G:G,"closed_lost")</f>
        <v>0</v>
      </c>
      <c r="C25" s="3"/>
      <c r="D25" s="3"/>
      <c r="E25" s="3"/>
      <c r="F25" s="3"/>
      <c r="G25" s="3"/>
      <c r="H25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FF"/>
    <pageSetUpPr fitToPage="false"/>
  </sheetPr>
  <dimension ref="A1:N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2" min="10" style="0" width="14"/>
    <col collapsed="false" customWidth="true" hidden="false" outlineLevel="0" max="13" min="13" style="0" width="30"/>
    <col collapsed="false" customWidth="true" hidden="false" outlineLevel="0" max="14" min="14" style="0" width="40"/>
  </cols>
  <sheetData>
    <row r="1" customFormat="false" ht="24" hidden="false" customHeight="true" outlineLevel="0" collapsed="false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2" t="s">
        <v>50</v>
      </c>
    </row>
    <row r="2" customFormat="false" ht="15" hidden="false" customHeight="false" outlineLevel="0" collapsed="false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L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4" t="s">
        <v>51</v>
      </c>
      <c r="B1" s="14" t="s">
        <v>52</v>
      </c>
      <c r="C1" s="14" t="s">
        <v>39</v>
      </c>
      <c r="D1" s="14" t="s">
        <v>53</v>
      </c>
      <c r="E1" s="14" t="s">
        <v>54</v>
      </c>
      <c r="F1" s="14" t="s">
        <v>55</v>
      </c>
      <c r="G1" s="14" t="s">
        <v>56</v>
      </c>
      <c r="H1" s="14" t="s">
        <v>43</v>
      </c>
      <c r="I1" s="14" t="s">
        <v>57</v>
      </c>
      <c r="J1" s="14" t="s">
        <v>58</v>
      </c>
      <c r="K1" s="14" t="s">
        <v>59</v>
      </c>
      <c r="L1" s="14" t="s">
        <v>60</v>
      </c>
    </row>
    <row r="2" customFormat="false" ht="15" hidden="false" customHeight="false" outlineLevel="0" collapsed="false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2" min="11" style="0" width="36"/>
  </cols>
  <sheetData>
    <row r="1" customFormat="false" ht="24" hidden="false" customHeight="true" outlineLevel="0" collapsed="false">
      <c r="A1" s="15" t="s">
        <v>61</v>
      </c>
      <c r="B1" s="15" t="s">
        <v>62</v>
      </c>
      <c r="C1" s="15" t="s">
        <v>12</v>
      </c>
      <c r="D1" s="15" t="s">
        <v>63</v>
      </c>
      <c r="E1" s="15" t="s">
        <v>18</v>
      </c>
      <c r="F1" s="15" t="s">
        <v>16</v>
      </c>
      <c r="G1" s="15" t="s">
        <v>20</v>
      </c>
      <c r="H1" s="15" t="s">
        <v>10</v>
      </c>
      <c r="I1" s="15" t="s">
        <v>22</v>
      </c>
      <c r="J1" s="15" t="s">
        <v>24</v>
      </c>
      <c r="K1" s="15" t="s">
        <v>64</v>
      </c>
      <c r="L1" s="15" t="s">
        <v>65</v>
      </c>
    </row>
    <row r="2" customFormat="false" ht="18" hidden="false" customHeight="true" outlineLevel="0" collapsed="false">
      <c r="A2" s="13"/>
      <c r="B2" s="13"/>
      <c r="C2" s="13"/>
      <c r="D2" s="13"/>
      <c r="E2" s="13"/>
      <c r="F2" s="16" t="str">
        <f aca="false">IFERROR(D2/C2,"-")</f>
        <v>-</v>
      </c>
      <c r="G2" s="16" t="str">
        <f aca="false">IFERROR(E2/C2,"-")</f>
        <v>-</v>
      </c>
      <c r="H2" s="13"/>
      <c r="I2" s="13"/>
      <c r="J2" s="13"/>
      <c r="K2" s="13"/>
      <c r="L2" s="13"/>
    </row>
    <row r="3" customFormat="false" ht="18" hidden="false" customHeight="true" outlineLevel="0" collapsed="false">
      <c r="A3" s="3"/>
      <c r="B3" s="3"/>
      <c r="C3" s="3"/>
      <c r="D3" s="3"/>
      <c r="E3" s="3"/>
      <c r="F3" s="17" t="str">
        <f aca="false">IFERROR(D3/C3,"-")</f>
        <v>-</v>
      </c>
      <c r="G3" s="17" t="str">
        <f aca="false">IFERROR(E3/C3,"-")</f>
        <v>-</v>
      </c>
      <c r="H3" s="3"/>
      <c r="I3" s="3"/>
      <c r="J3" s="3"/>
      <c r="K3" s="3"/>
      <c r="L3" s="3"/>
    </row>
    <row r="4" customFormat="false" ht="18" hidden="false" customHeight="true" outlineLevel="0" collapsed="false">
      <c r="A4" s="13"/>
      <c r="B4" s="13"/>
      <c r="C4" s="13"/>
      <c r="D4" s="13"/>
      <c r="E4" s="13"/>
      <c r="F4" s="16" t="str">
        <f aca="false">IFERROR(D4/C4,"-")</f>
        <v>-</v>
      </c>
      <c r="G4" s="16" t="str">
        <f aca="false">IFERROR(E4/C4,"-")</f>
        <v>-</v>
      </c>
      <c r="H4" s="13"/>
      <c r="I4" s="13"/>
      <c r="J4" s="13"/>
      <c r="K4" s="13"/>
      <c r="L4" s="13"/>
    </row>
    <row r="5" customFormat="false" ht="18" hidden="false" customHeight="true" outlineLevel="0" collapsed="false">
      <c r="A5" s="3"/>
      <c r="B5" s="3"/>
      <c r="C5" s="3"/>
      <c r="D5" s="3"/>
      <c r="E5" s="3"/>
      <c r="F5" s="17" t="str">
        <f aca="false">IFERROR(D5/C5,"-")</f>
        <v>-</v>
      </c>
      <c r="G5" s="17" t="str">
        <f aca="false">IFERROR(E5/C5,"-")</f>
        <v>-</v>
      </c>
      <c r="H5" s="3"/>
      <c r="I5" s="3"/>
      <c r="J5" s="3"/>
      <c r="K5" s="3"/>
      <c r="L5" s="3"/>
    </row>
    <row r="6" customFormat="false" ht="18" hidden="false" customHeight="true" outlineLevel="0" collapsed="false">
      <c r="A6" s="13"/>
      <c r="B6" s="13"/>
      <c r="C6" s="13"/>
      <c r="D6" s="13"/>
      <c r="E6" s="13"/>
      <c r="F6" s="16" t="str">
        <f aca="false">IFERROR(D6/C6,"-")</f>
        <v>-</v>
      </c>
      <c r="G6" s="16" t="str">
        <f aca="false">IFERROR(E6/C6,"-")</f>
        <v>-</v>
      </c>
      <c r="H6" s="13"/>
      <c r="I6" s="13"/>
      <c r="J6" s="13"/>
      <c r="K6" s="13"/>
      <c r="L6" s="13"/>
    </row>
    <row r="7" customFormat="false" ht="18" hidden="false" customHeight="true" outlineLevel="0" collapsed="false">
      <c r="A7" s="3"/>
      <c r="B7" s="3"/>
      <c r="C7" s="3"/>
      <c r="D7" s="3"/>
      <c r="E7" s="3"/>
      <c r="F7" s="17" t="str">
        <f aca="false">IFERROR(D7/C7,"-")</f>
        <v>-</v>
      </c>
      <c r="G7" s="17" t="str">
        <f aca="false">IFERROR(E7/C7,"-")</f>
        <v>-</v>
      </c>
      <c r="H7" s="3"/>
      <c r="I7" s="3"/>
      <c r="J7" s="3"/>
      <c r="K7" s="3"/>
      <c r="L7" s="3"/>
    </row>
    <row r="8" customFormat="false" ht="18" hidden="false" customHeight="true" outlineLevel="0" collapsed="false">
      <c r="A8" s="13"/>
      <c r="B8" s="13"/>
      <c r="C8" s="13"/>
      <c r="D8" s="13"/>
      <c r="E8" s="13"/>
      <c r="F8" s="16" t="str">
        <f aca="false">IFERROR(D8/C8,"-")</f>
        <v>-</v>
      </c>
      <c r="G8" s="16" t="str">
        <f aca="false">IFERROR(E8/C8,"-")</f>
        <v>-</v>
      </c>
      <c r="H8" s="13"/>
      <c r="I8" s="13"/>
      <c r="J8" s="13"/>
      <c r="K8" s="13"/>
      <c r="L8" s="13"/>
    </row>
    <row r="9" customFormat="false" ht="18" hidden="false" customHeight="true" outlineLevel="0" collapsed="false">
      <c r="A9" s="3"/>
      <c r="B9" s="3"/>
      <c r="C9" s="3"/>
      <c r="D9" s="3"/>
      <c r="E9" s="3"/>
      <c r="F9" s="17" t="str">
        <f aca="false">IFERROR(D9/C9,"-")</f>
        <v>-</v>
      </c>
      <c r="G9" s="17" t="str">
        <f aca="false">IFERROR(E9/C9,"-")</f>
        <v>-</v>
      </c>
      <c r="H9" s="3"/>
      <c r="I9" s="3"/>
      <c r="J9" s="3"/>
      <c r="K9" s="3"/>
      <c r="L9" s="3"/>
    </row>
    <row r="10" customFormat="false" ht="18" hidden="false" customHeight="true" outlineLevel="0" collapsed="false">
      <c r="A10" s="13"/>
      <c r="B10" s="13"/>
      <c r="C10" s="13"/>
      <c r="D10" s="13"/>
      <c r="E10" s="13"/>
      <c r="F10" s="16" t="str">
        <f aca="false">IFERROR(D10/C10,"-")</f>
        <v>-</v>
      </c>
      <c r="G10" s="16" t="str">
        <f aca="false">IFERROR(E10/C10,"-")</f>
        <v>-</v>
      </c>
      <c r="H10" s="13"/>
      <c r="I10" s="13"/>
      <c r="J10" s="13"/>
      <c r="K10" s="13"/>
      <c r="L10" s="13"/>
    </row>
    <row r="11" customFormat="false" ht="18" hidden="false" customHeight="true" outlineLevel="0" collapsed="false">
      <c r="A11" s="3"/>
      <c r="B11" s="3"/>
      <c r="C11" s="3"/>
      <c r="D11" s="3"/>
      <c r="E11" s="3"/>
      <c r="F11" s="17" t="str">
        <f aca="false">IFERROR(D11/C11,"-")</f>
        <v>-</v>
      </c>
      <c r="G11" s="17" t="str">
        <f aca="false">IFERROR(E11/C11,"-")</f>
        <v>-</v>
      </c>
      <c r="H11" s="3"/>
      <c r="I11" s="3"/>
      <c r="J11" s="3"/>
      <c r="K11" s="3"/>
      <c r="L11" s="3"/>
    </row>
    <row r="12" customFormat="false" ht="18" hidden="false" customHeight="true" outlineLevel="0" collapsed="false">
      <c r="A12" s="13"/>
      <c r="B12" s="13"/>
      <c r="C12" s="13"/>
      <c r="D12" s="13"/>
      <c r="E12" s="13"/>
      <c r="F12" s="16" t="str">
        <f aca="false">IFERROR(D12/C12,"-")</f>
        <v>-</v>
      </c>
      <c r="G12" s="16" t="str">
        <f aca="false">IFERROR(E12/C12,"-")</f>
        <v>-</v>
      </c>
      <c r="H12" s="13"/>
      <c r="I12" s="13"/>
      <c r="J12" s="13"/>
      <c r="K12" s="13"/>
      <c r="L12" s="13"/>
    </row>
    <row r="13" customFormat="false" ht="18" hidden="false" customHeight="true" outlineLevel="0" collapsed="false">
      <c r="A13" s="3"/>
      <c r="B13" s="3"/>
      <c r="C13" s="3"/>
      <c r="D13" s="3"/>
      <c r="E13" s="3"/>
      <c r="F13" s="17" t="str">
        <f aca="false">IFERROR(D13/C13,"-")</f>
        <v>-</v>
      </c>
      <c r="G13" s="17" t="str">
        <f aca="false">IFERROR(E13/C13,"-")</f>
        <v>-</v>
      </c>
      <c r="H13" s="3"/>
      <c r="I13" s="3"/>
      <c r="J13" s="3"/>
      <c r="K13" s="3"/>
      <c r="L13" s="3"/>
    </row>
    <row r="14" customFormat="false" ht="18" hidden="false" customHeight="true" outlineLevel="0" collapsed="false">
      <c r="A14" s="13"/>
      <c r="B14" s="13"/>
      <c r="C14" s="13"/>
      <c r="D14" s="13"/>
      <c r="E14" s="13"/>
      <c r="F14" s="16" t="str">
        <f aca="false">IFERROR(D14/C14,"-")</f>
        <v>-</v>
      </c>
      <c r="G14" s="16" t="str">
        <f aca="false">IFERROR(E14/C14,"-")</f>
        <v>-</v>
      </c>
      <c r="H14" s="13"/>
      <c r="I14" s="13"/>
      <c r="J14" s="13"/>
      <c r="K14" s="13"/>
      <c r="L14" s="13"/>
    </row>
    <row r="15" customFormat="false" ht="18" hidden="false" customHeight="true" outlineLevel="0" collapsed="false">
      <c r="A15" s="3"/>
      <c r="B15" s="3"/>
      <c r="C15" s="3"/>
      <c r="D15" s="3"/>
      <c r="E15" s="3"/>
      <c r="F15" s="17" t="str">
        <f aca="false">IFERROR(D15/C15,"-")</f>
        <v>-</v>
      </c>
      <c r="G15" s="17" t="str">
        <f aca="false">IFERROR(E15/C15,"-")</f>
        <v>-</v>
      </c>
      <c r="H15" s="3"/>
      <c r="I15" s="3"/>
      <c r="J15" s="3"/>
      <c r="K15" s="3"/>
      <c r="L15" s="3"/>
    </row>
    <row r="16" customFormat="false" ht="18" hidden="false" customHeight="true" outlineLevel="0" collapsed="false">
      <c r="A16" s="13"/>
      <c r="B16" s="13"/>
      <c r="C16" s="13"/>
      <c r="D16" s="13"/>
      <c r="E16" s="13"/>
      <c r="F16" s="16" t="str">
        <f aca="false">IFERROR(D16/C16,"-")</f>
        <v>-</v>
      </c>
      <c r="G16" s="16" t="str">
        <f aca="false">IFERROR(E16/C16,"-")</f>
        <v>-</v>
      </c>
      <c r="H16" s="13"/>
      <c r="I16" s="13"/>
      <c r="J16" s="13"/>
      <c r="K16" s="13"/>
      <c r="L16" s="13"/>
    </row>
    <row r="17" customFormat="false" ht="18" hidden="false" customHeight="true" outlineLevel="0" collapsed="false">
      <c r="A17" s="3"/>
      <c r="B17" s="3"/>
      <c r="C17" s="3"/>
      <c r="D17" s="3"/>
      <c r="E17" s="3"/>
      <c r="F17" s="17" t="str">
        <f aca="false">IFERROR(D17/C17,"-")</f>
        <v>-</v>
      </c>
      <c r="G17" s="17" t="str">
        <f aca="false">IFERROR(E17/C17,"-")</f>
        <v>-</v>
      </c>
      <c r="H17" s="3"/>
      <c r="I17" s="3"/>
      <c r="J17" s="3"/>
      <c r="K17" s="3"/>
      <c r="L17" s="3"/>
    </row>
    <row r="18" customFormat="false" ht="18" hidden="false" customHeight="true" outlineLevel="0" collapsed="false">
      <c r="A18" s="13"/>
      <c r="B18" s="13"/>
      <c r="C18" s="13"/>
      <c r="D18" s="13"/>
      <c r="E18" s="13"/>
      <c r="F18" s="16" t="str">
        <f aca="false">IFERROR(D18/C18,"-")</f>
        <v>-</v>
      </c>
      <c r="G18" s="16" t="str">
        <f aca="false">IFERROR(E18/C18,"-")</f>
        <v>-</v>
      </c>
      <c r="H18" s="13"/>
      <c r="I18" s="13"/>
      <c r="J18" s="13"/>
      <c r="K18" s="13"/>
      <c r="L18" s="13"/>
    </row>
    <row r="19" customFormat="false" ht="18" hidden="false" customHeight="true" outlineLevel="0" collapsed="false">
      <c r="A19" s="3"/>
      <c r="B19" s="3"/>
      <c r="C19" s="3"/>
      <c r="D19" s="3"/>
      <c r="E19" s="3"/>
      <c r="F19" s="17" t="str">
        <f aca="false">IFERROR(D19/C19,"-")</f>
        <v>-</v>
      </c>
      <c r="G19" s="17" t="str">
        <f aca="false">IFERROR(E19/C19,"-")</f>
        <v>-</v>
      </c>
      <c r="H19" s="3"/>
      <c r="I19" s="3"/>
      <c r="J19" s="3"/>
      <c r="K19" s="3"/>
      <c r="L19" s="3"/>
    </row>
    <row r="20" customFormat="false" ht="18" hidden="false" customHeight="true" outlineLevel="0" collapsed="false">
      <c r="A20" s="13"/>
      <c r="B20" s="13"/>
      <c r="C20" s="13"/>
      <c r="D20" s="13"/>
      <c r="E20" s="13"/>
      <c r="F20" s="16" t="str">
        <f aca="false">IFERROR(D20/C20,"-")</f>
        <v>-</v>
      </c>
      <c r="G20" s="16" t="str">
        <f aca="false">IFERROR(E20/C20,"-")</f>
        <v>-</v>
      </c>
      <c r="H20" s="13"/>
      <c r="I20" s="13"/>
      <c r="J20" s="13"/>
      <c r="K20" s="13"/>
      <c r="L20" s="13"/>
    </row>
    <row r="21" customFormat="false" ht="18" hidden="false" customHeight="true" outlineLevel="0" collapsed="false">
      <c r="A21" s="3"/>
      <c r="B21" s="3"/>
      <c r="C21" s="3"/>
      <c r="D21" s="3"/>
      <c r="E21" s="3"/>
      <c r="F21" s="17" t="str">
        <f aca="false">IFERROR(D21/C21,"-")</f>
        <v>-</v>
      </c>
      <c r="G21" s="17" t="str">
        <f aca="false">IFERROR(E21/C21,"-")</f>
        <v>-</v>
      </c>
      <c r="H21" s="3"/>
      <c r="I21" s="3"/>
      <c r="J21" s="3"/>
      <c r="K21" s="3"/>
      <c r="L21" s="3"/>
    </row>
    <row r="22" customFormat="false" ht="18" hidden="false" customHeight="true" outlineLevel="0" collapsed="false">
      <c r="A22" s="13"/>
      <c r="B22" s="13"/>
      <c r="C22" s="13"/>
      <c r="D22" s="13"/>
      <c r="E22" s="13"/>
      <c r="F22" s="16" t="str">
        <f aca="false">IFERROR(D22/C22,"-")</f>
        <v>-</v>
      </c>
      <c r="G22" s="16" t="str">
        <f aca="false">IFERROR(E22/C22,"-")</f>
        <v>-</v>
      </c>
      <c r="H22" s="13"/>
      <c r="I22" s="13"/>
      <c r="J22" s="13"/>
      <c r="K22" s="13"/>
      <c r="L22" s="13"/>
    </row>
    <row r="23" customFormat="false" ht="18" hidden="false" customHeight="true" outlineLevel="0" collapsed="false">
      <c r="A23" s="3"/>
      <c r="B23" s="3"/>
      <c r="C23" s="3"/>
      <c r="D23" s="3"/>
      <c r="E23" s="3"/>
      <c r="F23" s="17" t="str">
        <f aca="false">IFERROR(D23/C23,"-")</f>
        <v>-</v>
      </c>
      <c r="G23" s="17" t="str">
        <f aca="false">IFERROR(E23/C23,"-")</f>
        <v>-</v>
      </c>
      <c r="H23" s="3"/>
      <c r="I23" s="3"/>
      <c r="J23" s="3"/>
      <c r="K23" s="3"/>
      <c r="L23" s="3"/>
    </row>
    <row r="24" customFormat="false" ht="18" hidden="false" customHeight="true" outlineLevel="0" collapsed="false">
      <c r="A24" s="13"/>
      <c r="B24" s="13"/>
      <c r="C24" s="13"/>
      <c r="D24" s="13"/>
      <c r="E24" s="13"/>
      <c r="F24" s="16" t="str">
        <f aca="false">IFERROR(D24/C24,"-")</f>
        <v>-</v>
      </c>
      <c r="G24" s="16" t="str">
        <f aca="false">IFERROR(E24/C24,"-")</f>
        <v>-</v>
      </c>
      <c r="H24" s="13"/>
      <c r="I24" s="13"/>
      <c r="J24" s="13"/>
      <c r="K24" s="13"/>
      <c r="L24" s="13"/>
    </row>
    <row r="25" customFormat="false" ht="18" hidden="false" customHeight="true" outlineLevel="0" collapsed="false">
      <c r="A25" s="3"/>
      <c r="B25" s="3"/>
      <c r="C25" s="3"/>
      <c r="D25" s="3"/>
      <c r="E25" s="3"/>
      <c r="F25" s="17" t="str">
        <f aca="false">IFERROR(D25/C25,"-")</f>
        <v>-</v>
      </c>
      <c r="G25" s="17" t="str">
        <f aca="false">IFERROR(E25/C25,"-")</f>
        <v>-</v>
      </c>
      <c r="H25" s="3"/>
      <c r="I25" s="3"/>
      <c r="J25" s="3"/>
      <c r="K25" s="3"/>
      <c r="L25" s="3"/>
    </row>
    <row r="26" customFormat="false" ht="18" hidden="false" customHeight="true" outlineLevel="0" collapsed="false">
      <c r="A26" s="13"/>
      <c r="B26" s="13"/>
      <c r="C26" s="13"/>
      <c r="D26" s="13"/>
      <c r="E26" s="13"/>
      <c r="F26" s="16" t="str">
        <f aca="false">IFERROR(D26/C26,"-")</f>
        <v>-</v>
      </c>
      <c r="G26" s="16" t="str">
        <f aca="false">IFERROR(E26/C26,"-")</f>
        <v>-</v>
      </c>
      <c r="H26" s="13"/>
      <c r="I26" s="13"/>
      <c r="J26" s="13"/>
      <c r="K26" s="13"/>
      <c r="L26" s="13"/>
    </row>
    <row r="27" customFormat="false" ht="18" hidden="false" customHeight="true" outlineLevel="0" collapsed="false">
      <c r="A27" s="3"/>
      <c r="B27" s="3"/>
      <c r="C27" s="3"/>
      <c r="D27" s="3"/>
      <c r="E27" s="3"/>
      <c r="F27" s="17" t="str">
        <f aca="false">IFERROR(D27/C27,"-")</f>
        <v>-</v>
      </c>
      <c r="G27" s="17" t="str">
        <f aca="false">IFERROR(E27/C27,"-")</f>
        <v>-</v>
      </c>
      <c r="H27" s="3"/>
      <c r="I27" s="3"/>
      <c r="J27" s="3"/>
      <c r="K27" s="3"/>
      <c r="L27" s="3"/>
    </row>
    <row r="28" customFormat="false" ht="18" hidden="false" customHeight="true" outlineLevel="0" collapsed="false">
      <c r="A28" s="13"/>
      <c r="B28" s="13"/>
      <c r="C28" s="13"/>
      <c r="D28" s="13"/>
      <c r="E28" s="13"/>
      <c r="F28" s="16" t="str">
        <f aca="false">IFERROR(D28/C28,"-")</f>
        <v>-</v>
      </c>
      <c r="G28" s="16" t="str">
        <f aca="false">IFERROR(E28/C28,"-")</f>
        <v>-</v>
      </c>
      <c r="H28" s="13"/>
      <c r="I28" s="13"/>
      <c r="J28" s="13"/>
      <c r="K28" s="13"/>
      <c r="L28" s="13"/>
    </row>
    <row r="29" customFormat="false" ht="18" hidden="false" customHeight="true" outlineLevel="0" collapsed="false">
      <c r="A29" s="3"/>
      <c r="B29" s="3"/>
      <c r="C29" s="3"/>
      <c r="D29" s="3"/>
      <c r="E29" s="3"/>
      <c r="F29" s="17" t="str">
        <f aca="false">IFERROR(D29/C29,"-")</f>
        <v>-</v>
      </c>
      <c r="G29" s="17" t="str">
        <f aca="false">IFERROR(E29/C29,"-")</f>
        <v>-</v>
      </c>
      <c r="H29" s="3"/>
      <c r="I29" s="3"/>
      <c r="J29" s="3"/>
      <c r="K29" s="3"/>
      <c r="L29" s="3"/>
    </row>
    <row r="30" customFormat="false" ht="18" hidden="false" customHeight="true" outlineLevel="0" collapsed="false">
      <c r="A30" s="13"/>
      <c r="B30" s="13"/>
      <c r="C30" s="13"/>
      <c r="D30" s="13"/>
      <c r="E30" s="13"/>
      <c r="F30" s="16" t="str">
        <f aca="false">IFERROR(D30/C30,"-")</f>
        <v>-</v>
      </c>
      <c r="G30" s="16" t="str">
        <f aca="false">IFERROR(E30/C30,"-")</f>
        <v>-</v>
      </c>
      <c r="H30" s="13"/>
      <c r="I30" s="13"/>
      <c r="J30" s="13"/>
      <c r="K30" s="13"/>
      <c r="L30" s="13"/>
    </row>
    <row r="31" customFormat="false" ht="18" hidden="false" customHeight="true" outlineLevel="0" collapsed="false">
      <c r="A31" s="3"/>
      <c r="B31" s="3"/>
      <c r="C31" s="3"/>
      <c r="D31" s="3"/>
      <c r="E31" s="3"/>
      <c r="F31" s="17" t="str">
        <f aca="false">IFERROR(D31/C31,"-")</f>
        <v>-</v>
      </c>
      <c r="G31" s="17" t="str">
        <f aca="false">IFERROR(E31/C31,"-")</f>
        <v>-</v>
      </c>
      <c r="H31" s="3"/>
      <c r="I31" s="3"/>
      <c r="J31" s="3"/>
      <c r="K31" s="3"/>
      <c r="L31" s="3"/>
    </row>
    <row r="32" customFormat="false" ht="18" hidden="false" customHeight="true" outlineLevel="0" collapsed="false">
      <c r="A32" s="13"/>
      <c r="B32" s="13"/>
      <c r="C32" s="13"/>
      <c r="D32" s="13"/>
      <c r="E32" s="13"/>
      <c r="F32" s="16" t="str">
        <f aca="false">IFERROR(D32/C32,"-")</f>
        <v>-</v>
      </c>
      <c r="G32" s="16" t="str">
        <f aca="false">IFERROR(E32/C32,"-")</f>
        <v>-</v>
      </c>
      <c r="H32" s="13"/>
      <c r="I32" s="13"/>
      <c r="J32" s="13"/>
      <c r="K32" s="13"/>
      <c r="L32" s="13"/>
    </row>
    <row r="33" customFormat="false" ht="18" hidden="false" customHeight="true" outlineLevel="0" collapsed="false">
      <c r="A33" s="3"/>
      <c r="B33" s="3"/>
      <c r="C33" s="3"/>
      <c r="D33" s="3"/>
      <c r="E33" s="3"/>
      <c r="F33" s="17" t="str">
        <f aca="false">IFERROR(D33/C33,"-")</f>
        <v>-</v>
      </c>
      <c r="G33" s="17" t="str">
        <f aca="false">IFERROR(E33/C33,"-")</f>
        <v>-</v>
      </c>
      <c r="H33" s="3"/>
      <c r="I33" s="3"/>
      <c r="J33" s="3"/>
      <c r="K33" s="3"/>
      <c r="L33" s="3"/>
    </row>
    <row r="34" customFormat="false" ht="18" hidden="false" customHeight="true" outlineLevel="0" collapsed="false">
      <c r="A34" s="13"/>
      <c r="B34" s="13"/>
      <c r="C34" s="13"/>
      <c r="D34" s="13"/>
      <c r="E34" s="13"/>
      <c r="F34" s="16" t="str">
        <f aca="false">IFERROR(D34/C34,"-")</f>
        <v>-</v>
      </c>
      <c r="G34" s="16" t="str">
        <f aca="false">IFERROR(E34/C34,"-")</f>
        <v>-</v>
      </c>
      <c r="H34" s="13"/>
      <c r="I34" s="13"/>
      <c r="J34" s="13"/>
      <c r="K34" s="13"/>
      <c r="L34" s="13"/>
    </row>
    <row r="35" customFormat="false" ht="18" hidden="false" customHeight="true" outlineLevel="0" collapsed="false">
      <c r="A35" s="3"/>
      <c r="B35" s="3"/>
      <c r="C35" s="3"/>
      <c r="D35" s="3"/>
      <c r="E35" s="3"/>
      <c r="F35" s="17" t="str">
        <f aca="false">IFERROR(D35/C35,"-")</f>
        <v>-</v>
      </c>
      <c r="G35" s="17" t="str">
        <f aca="false">IFERROR(E35/C35,"-")</f>
        <v>-</v>
      </c>
      <c r="H35" s="3"/>
      <c r="I35" s="3"/>
      <c r="J35" s="3"/>
      <c r="K35" s="3"/>
      <c r="L35" s="3"/>
    </row>
    <row r="36" customFormat="false" ht="18" hidden="false" customHeight="true" outlineLevel="0" collapsed="false">
      <c r="A36" s="13"/>
      <c r="B36" s="13"/>
      <c r="C36" s="13"/>
      <c r="D36" s="13"/>
      <c r="E36" s="13"/>
      <c r="F36" s="16" t="str">
        <f aca="false">IFERROR(D36/C36,"-")</f>
        <v>-</v>
      </c>
      <c r="G36" s="16" t="str">
        <f aca="false">IFERROR(E36/C36,"-")</f>
        <v>-</v>
      </c>
      <c r="H36" s="13"/>
      <c r="I36" s="13"/>
      <c r="J36" s="13"/>
      <c r="K36" s="13"/>
      <c r="L36" s="13"/>
    </row>
    <row r="37" customFormat="false" ht="18" hidden="false" customHeight="true" outlineLevel="0" collapsed="false">
      <c r="A37" s="3"/>
      <c r="B37" s="3"/>
      <c r="C37" s="3"/>
      <c r="D37" s="3"/>
      <c r="E37" s="3"/>
      <c r="F37" s="17" t="str">
        <f aca="false">IFERROR(D37/C37,"-")</f>
        <v>-</v>
      </c>
      <c r="G37" s="17" t="str">
        <f aca="false">IFERROR(E37/C37,"-")</f>
        <v>-</v>
      </c>
      <c r="H37" s="3"/>
      <c r="I37" s="3"/>
      <c r="J37" s="3"/>
      <c r="K37" s="3"/>
      <c r="L37" s="3"/>
    </row>
    <row r="38" customFormat="false" ht="18" hidden="false" customHeight="true" outlineLevel="0" collapsed="false">
      <c r="A38" s="13"/>
      <c r="B38" s="13"/>
      <c r="C38" s="13"/>
      <c r="D38" s="13"/>
      <c r="E38" s="13"/>
      <c r="F38" s="16" t="str">
        <f aca="false">IFERROR(D38/C38,"-")</f>
        <v>-</v>
      </c>
      <c r="G38" s="16" t="str">
        <f aca="false">IFERROR(E38/C38,"-")</f>
        <v>-</v>
      </c>
      <c r="H38" s="13"/>
      <c r="I38" s="13"/>
      <c r="J38" s="13"/>
      <c r="K38" s="13"/>
      <c r="L38" s="13"/>
    </row>
    <row r="39" customFormat="false" ht="18" hidden="false" customHeight="true" outlineLevel="0" collapsed="false">
      <c r="A39" s="3"/>
      <c r="B39" s="3"/>
      <c r="C39" s="3"/>
      <c r="D39" s="3"/>
      <c r="E39" s="3"/>
      <c r="F39" s="17" t="str">
        <f aca="false">IFERROR(D39/C39,"-")</f>
        <v>-</v>
      </c>
      <c r="G39" s="17" t="str">
        <f aca="false">IFERROR(E39/C39,"-")</f>
        <v>-</v>
      </c>
      <c r="H39" s="3"/>
      <c r="I39" s="3"/>
      <c r="J39" s="3"/>
      <c r="K39" s="3"/>
      <c r="L39" s="3"/>
    </row>
    <row r="40" customFormat="false" ht="18" hidden="false" customHeight="true" outlineLevel="0" collapsed="false">
      <c r="A40" s="13"/>
      <c r="B40" s="13"/>
      <c r="C40" s="13"/>
      <c r="D40" s="13"/>
      <c r="E40" s="13"/>
      <c r="F40" s="16" t="str">
        <f aca="false">IFERROR(D40/C40,"-")</f>
        <v>-</v>
      </c>
      <c r="G40" s="16" t="str">
        <f aca="false">IFERROR(E40/C40,"-")</f>
        <v>-</v>
      </c>
      <c r="H40" s="13"/>
      <c r="I40" s="13"/>
      <c r="J40" s="13"/>
      <c r="K40" s="13"/>
      <c r="L40" s="13"/>
    </row>
    <row r="41" customFormat="false" ht="18" hidden="false" customHeight="true" outlineLevel="0" collapsed="false">
      <c r="A41" s="3"/>
      <c r="B41" s="3"/>
      <c r="C41" s="3"/>
      <c r="D41" s="3"/>
      <c r="E41" s="3"/>
      <c r="F41" s="17" t="str">
        <f aca="false">IFERROR(D41/C41,"-")</f>
        <v>-</v>
      </c>
      <c r="G41" s="17" t="str">
        <f aca="false">IFERROR(E41/C41,"-")</f>
        <v>-</v>
      </c>
      <c r="H41" s="3"/>
      <c r="I41" s="3"/>
      <c r="J41" s="3"/>
      <c r="K41" s="3"/>
      <c r="L41" s="3"/>
    </row>
    <row r="42" customFormat="false" ht="18" hidden="false" customHeight="true" outlineLevel="0" collapsed="false">
      <c r="A42" s="13"/>
      <c r="B42" s="13"/>
      <c r="C42" s="13"/>
      <c r="D42" s="13"/>
      <c r="E42" s="13"/>
      <c r="F42" s="16" t="str">
        <f aca="false">IFERROR(D42/C42,"-")</f>
        <v>-</v>
      </c>
      <c r="G42" s="16" t="str">
        <f aca="false">IFERROR(E42/C42,"-")</f>
        <v>-</v>
      </c>
      <c r="H42" s="13"/>
      <c r="I42" s="13"/>
      <c r="J42" s="13"/>
      <c r="K42" s="13"/>
      <c r="L42" s="13"/>
    </row>
    <row r="43" customFormat="false" ht="18" hidden="false" customHeight="true" outlineLevel="0" collapsed="false">
      <c r="A43" s="3"/>
      <c r="B43" s="3"/>
      <c r="C43" s="3"/>
      <c r="D43" s="3"/>
      <c r="E43" s="3"/>
      <c r="F43" s="17" t="str">
        <f aca="false">IFERROR(D43/C43,"-")</f>
        <v>-</v>
      </c>
      <c r="G43" s="17" t="str">
        <f aca="false">IFERROR(E43/C43,"-")</f>
        <v>-</v>
      </c>
      <c r="H43" s="3"/>
      <c r="I43" s="3"/>
      <c r="J43" s="3"/>
      <c r="K43" s="3"/>
      <c r="L43" s="3"/>
    </row>
    <row r="44" customFormat="false" ht="18" hidden="false" customHeight="true" outlineLevel="0" collapsed="false">
      <c r="A44" s="13"/>
      <c r="B44" s="13"/>
      <c r="C44" s="13"/>
      <c r="D44" s="13"/>
      <c r="E44" s="13"/>
      <c r="F44" s="16" t="str">
        <f aca="false">IFERROR(D44/C44,"-")</f>
        <v>-</v>
      </c>
      <c r="G44" s="16" t="str">
        <f aca="false">IFERROR(E44/C44,"-")</f>
        <v>-</v>
      </c>
      <c r="H44" s="13"/>
      <c r="I44" s="13"/>
      <c r="J44" s="13"/>
      <c r="K44" s="13"/>
      <c r="L44" s="13"/>
    </row>
    <row r="45" customFormat="false" ht="18" hidden="false" customHeight="true" outlineLevel="0" collapsed="false">
      <c r="A45" s="3"/>
      <c r="B45" s="3"/>
      <c r="C45" s="3"/>
      <c r="D45" s="3"/>
      <c r="E45" s="3"/>
      <c r="F45" s="17" t="str">
        <f aca="false">IFERROR(D45/C45,"-")</f>
        <v>-</v>
      </c>
      <c r="G45" s="17" t="str">
        <f aca="false">IFERROR(E45/C45,"-")</f>
        <v>-</v>
      </c>
      <c r="H45" s="3"/>
      <c r="I45" s="3"/>
      <c r="J45" s="3"/>
      <c r="K45" s="3"/>
      <c r="L45" s="3"/>
    </row>
    <row r="46" customFormat="false" ht="18" hidden="false" customHeight="true" outlineLevel="0" collapsed="false">
      <c r="A46" s="13"/>
      <c r="B46" s="13"/>
      <c r="C46" s="13"/>
      <c r="D46" s="13"/>
      <c r="E46" s="13"/>
      <c r="F46" s="16" t="str">
        <f aca="false">IFERROR(D46/C46,"-")</f>
        <v>-</v>
      </c>
      <c r="G46" s="16" t="str">
        <f aca="false">IFERROR(E46/C46,"-")</f>
        <v>-</v>
      </c>
      <c r="H46" s="13"/>
      <c r="I46" s="13"/>
      <c r="J46" s="13"/>
      <c r="K46" s="13"/>
      <c r="L46" s="13"/>
    </row>
    <row r="47" customFormat="false" ht="18" hidden="false" customHeight="true" outlineLevel="0" collapsed="false">
      <c r="A47" s="3"/>
      <c r="B47" s="3"/>
      <c r="C47" s="3"/>
      <c r="D47" s="3"/>
      <c r="E47" s="3"/>
      <c r="F47" s="17" t="str">
        <f aca="false">IFERROR(D47/C47,"-")</f>
        <v>-</v>
      </c>
      <c r="G47" s="17" t="str">
        <f aca="false">IFERROR(E47/C47,"-")</f>
        <v>-</v>
      </c>
      <c r="H47" s="3"/>
      <c r="I47" s="3"/>
      <c r="J47" s="3"/>
      <c r="K47" s="3"/>
      <c r="L47" s="3"/>
    </row>
    <row r="48" customFormat="false" ht="18" hidden="false" customHeight="true" outlineLevel="0" collapsed="false">
      <c r="A48" s="13"/>
      <c r="B48" s="13"/>
      <c r="C48" s="13"/>
      <c r="D48" s="13"/>
      <c r="E48" s="13"/>
      <c r="F48" s="16" t="str">
        <f aca="false">IFERROR(D48/C48,"-")</f>
        <v>-</v>
      </c>
      <c r="G48" s="16" t="str">
        <f aca="false">IFERROR(E48/C48,"-")</f>
        <v>-</v>
      </c>
      <c r="H48" s="13"/>
      <c r="I48" s="13"/>
      <c r="J48" s="13"/>
      <c r="K48" s="13"/>
      <c r="L48" s="13"/>
    </row>
    <row r="49" customFormat="false" ht="18" hidden="false" customHeight="true" outlineLevel="0" collapsed="false">
      <c r="A49" s="3"/>
      <c r="B49" s="3"/>
      <c r="C49" s="3"/>
      <c r="D49" s="3"/>
      <c r="E49" s="3"/>
      <c r="F49" s="17" t="str">
        <f aca="false">IFERROR(D49/C49,"-")</f>
        <v>-</v>
      </c>
      <c r="G49" s="17" t="str">
        <f aca="false">IFERROR(E49/C49,"-")</f>
        <v>-</v>
      </c>
      <c r="H49" s="3"/>
      <c r="I49" s="3"/>
      <c r="J49" s="3"/>
      <c r="K49" s="3"/>
      <c r="L49" s="3"/>
    </row>
    <row r="50" customFormat="false" ht="18" hidden="false" customHeight="true" outlineLevel="0" collapsed="false">
      <c r="A50" s="13"/>
      <c r="B50" s="13"/>
      <c r="C50" s="13"/>
      <c r="D50" s="13"/>
      <c r="E50" s="13"/>
      <c r="F50" s="16" t="str">
        <f aca="false">IFERROR(D50/C50,"-")</f>
        <v>-</v>
      </c>
      <c r="G50" s="16" t="str">
        <f aca="false">IFERROR(E50/C50,"-")</f>
        <v>-</v>
      </c>
      <c r="H50" s="13"/>
      <c r="I50" s="13"/>
      <c r="J50" s="13"/>
      <c r="K50" s="13"/>
      <c r="L50" s="13"/>
    </row>
    <row r="51" customFormat="false" ht="18" hidden="false" customHeight="true" outlineLevel="0" collapsed="false">
      <c r="A51" s="3"/>
      <c r="B51" s="3"/>
      <c r="C51" s="3"/>
      <c r="D51" s="3"/>
      <c r="E51" s="3"/>
      <c r="F51" s="17" t="str">
        <f aca="false">IFERROR(D51/C51,"-")</f>
        <v>-</v>
      </c>
      <c r="G51" s="17" t="str">
        <f aca="false">IFERROR(E51/C51,"-")</f>
        <v>-</v>
      </c>
      <c r="H51" s="3"/>
      <c r="I51" s="3"/>
      <c r="J51" s="3"/>
      <c r="K51" s="3"/>
      <c r="L51" s="3"/>
    </row>
    <row r="52" customFormat="false" ht="18" hidden="false" customHeight="true" outlineLevel="0" collapsed="false">
      <c r="A52" s="13"/>
      <c r="B52" s="13"/>
      <c r="C52" s="13"/>
      <c r="D52" s="13"/>
      <c r="E52" s="13"/>
      <c r="F52" s="16" t="str">
        <f aca="false">IFERROR(D52/C52,"-")</f>
        <v>-</v>
      </c>
      <c r="G52" s="16" t="str">
        <f aca="false">IFERROR(E52/C52,"-")</f>
        <v>-</v>
      </c>
      <c r="H52" s="13"/>
      <c r="I52" s="13"/>
      <c r="J52" s="13"/>
      <c r="K52" s="13"/>
      <c r="L52" s="13"/>
    </row>
    <row r="53" customFormat="false" ht="18" hidden="false" customHeight="true" outlineLevel="0" collapsed="false">
      <c r="A53" s="3"/>
      <c r="B53" s="3"/>
      <c r="C53" s="3"/>
      <c r="D53" s="3"/>
      <c r="E53" s="3"/>
      <c r="F53" s="17" t="str">
        <f aca="false">IFERROR(D53/C53,"-")</f>
        <v>-</v>
      </c>
      <c r="G53" s="17" t="str">
        <f aca="false">IFERROR(E53/C53,"-")</f>
        <v>-</v>
      </c>
      <c r="H53" s="3"/>
      <c r="I53" s="3"/>
      <c r="J53" s="3"/>
      <c r="K53" s="3"/>
      <c r="L5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F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70</v>
      </c>
      <c r="F1" s="15" t="s">
        <v>71</v>
      </c>
    </row>
    <row r="2" customFormat="false" ht="15" hidden="false" customHeight="false" outlineLevel="0" collapsed="false">
      <c r="A2" s="13"/>
      <c r="B2" s="13"/>
      <c r="C2" s="13"/>
      <c r="D2" s="13"/>
      <c r="E2" s="13"/>
      <c r="F2" s="1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2026-04-03T09:01:22Z</dcterms:created>
  <dc:creator>openpyxl</dc:creator>
  <dc:description/>
  <dc:language>en-US</dc:language>
  <cp:lastModifiedBy/>
  <dcterms:modified xsi:type="dcterms:W3CDTF">2026-04-03T09:01:23Z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